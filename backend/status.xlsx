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Not Heard From" sheetId="2" state="visible" r:id="rId2"/>
    <sheet xmlns:r="http://schemas.openxmlformats.org/officeDocument/2006/relationships" name="Unlikely to Play" sheetId="3" state="visible" r:id="rId3"/>
    <sheet xmlns:r="http://schemas.openxmlformats.org/officeDocument/2006/relationships" name="Not Returning" sheetId="4" state="visible" r:id="rId4"/>
    <sheet xmlns:r="http://schemas.openxmlformats.org/officeDocument/2006/relationships" name="New Registrations" sheetId="5" state="visible" r:id="rId5"/>
    <sheet xmlns:r="http://schemas.openxmlformats.org/officeDocument/2006/relationships" name="PL" sheetId="6" state="visible" r:id="rId6"/>
    <sheet xmlns:r="http://schemas.openxmlformats.org/officeDocument/2006/relationships" name="PLR" sheetId="7" state="visible" r:id="rId7"/>
    <sheet xmlns:r="http://schemas.openxmlformats.org/officeDocument/2006/relationships" name="PB" sheetId="8" state="visible" r:id="rId8"/>
    <sheet xmlns:r="http://schemas.openxmlformats.org/officeDocument/2006/relationships" name="PC" sheetId="9" state="visible" r:id="rId9"/>
    <sheet xmlns:r="http://schemas.openxmlformats.org/officeDocument/2006/relationships" name="PE" sheetId="10" state="visible" r:id="rId10"/>
    <sheet xmlns:r="http://schemas.openxmlformats.org/officeDocument/2006/relationships" name="Metro" sheetId="11" state="visible" r:id="rId11"/>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2"/>
    </font>
    <font>
      <name val="Arial"/>
      <b val="1"/>
      <color rgb="00FFFFFF"/>
      <sz val="9"/>
    </font>
    <font>
      <name val="Arial"/>
      <b val="1"/>
      <sz val="9"/>
    </font>
    <font>
      <name val="Arial"/>
      <sz val="9"/>
    </font>
    <font>
      <name val="Arial"/>
      <i val="1"/>
      <color rgb="00666666"/>
      <sz val="8"/>
    </font>
    <font>
      <name val="Arial"/>
      <b val="1"/>
      <sz val="8"/>
    </font>
    <font>
      <name val="Arial"/>
      <sz val="8"/>
    </font>
  </fonts>
  <fills count="14">
    <fill>
      <patternFill/>
    </fill>
    <fill>
      <patternFill patternType="gray125"/>
    </fill>
    <fill>
      <patternFill patternType="solid">
        <fgColor rgb="001B365D"/>
      </patternFill>
    </fill>
    <fill>
      <patternFill patternType="solid">
        <fgColor rgb="002E5090"/>
      </patternFill>
    </fill>
    <fill>
      <patternFill patternType="solid">
        <fgColor rgb="00F2F2F2"/>
      </patternFill>
    </fill>
    <fill>
      <patternFill patternType="solid">
        <fgColor rgb="00444444"/>
      </patternFill>
    </fill>
    <fill>
      <patternFill patternType="solid">
        <fgColor rgb="00C6EFCE"/>
      </patternFill>
    </fill>
    <fill>
      <patternFill patternType="solid">
        <fgColor rgb="00FFFACD"/>
      </patternFill>
    </fill>
    <fill>
      <patternFill patternType="solid">
        <fgColor rgb="00D8BFD8"/>
      </patternFill>
    </fill>
    <fill>
      <patternFill patternType="solid">
        <fgColor rgb="00D9D9D9"/>
      </patternFill>
    </fill>
    <fill>
      <patternFill patternType="solid">
        <fgColor rgb="00FFC7CE"/>
      </patternFill>
    </fill>
    <fill>
      <patternFill patternType="solid">
        <fgColor rgb="006B6B6B"/>
      </patternFill>
    </fill>
    <fill>
      <patternFill patternType="solid">
        <fgColor rgb="00ECECEC"/>
      </patternFill>
    </fill>
    <fill>
      <patternFill patternType="solid">
        <fgColor rgb="00E0E0E0"/>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54">
    <xf numFmtId="0" fontId="0" fillId="0" borderId="0" pivotButton="0" quotePrefix="0" xfId="0"/>
    <xf numFmtId="0" fontId="1" fillId="2" borderId="0" applyAlignment="1" pivotButton="0" quotePrefix="0" xfId="0">
      <alignment horizontal="left" vertical="center" indent="1"/>
    </xf>
    <xf numFmtId="0" fontId="2" fillId="3" borderId="1" applyAlignment="1" pivotButton="0" quotePrefix="0" xfId="0">
      <alignment horizontal="center" vertical="center"/>
    </xf>
    <xf numFmtId="0" fontId="3" fillId="0" borderId="1" applyAlignment="1" pivotButton="0" quotePrefix="0" xfId="0">
      <alignment horizontal="left" vertical="center" indent="1"/>
    </xf>
    <xf numFmtId="0" fontId="4" fillId="0" borderId="1" applyAlignment="1" pivotButton="0" quotePrefix="0" xfId="0">
      <alignment horizontal="center" vertical="center"/>
    </xf>
    <xf numFmtId="0" fontId="4" fillId="4" borderId="1" applyAlignment="1" pivotButton="0" quotePrefix="0" xfId="0">
      <alignment horizontal="center" vertical="center"/>
    </xf>
    <xf numFmtId="0" fontId="2" fillId="5" borderId="1" pivotButton="0" quotePrefix="0" xfId="0"/>
    <xf numFmtId="0" fontId="2" fillId="5" borderId="1" applyAlignment="1" pivotButton="0" quotePrefix="0" xfId="0">
      <alignment horizontal="center"/>
    </xf>
    <xf numFmtId="0" fontId="5" fillId="0" borderId="0" applyAlignment="1" pivotButton="0" quotePrefix="0" xfId="0">
      <alignment indent="1"/>
    </xf>
    <xf numFmtId="0" fontId="6" fillId="0" borderId="0" pivotButton="0" quotePrefix="0" xfId="0"/>
    <xf numFmtId="0" fontId="7" fillId="6" borderId="1" applyAlignment="1" pivotButton="0" quotePrefix="0" xfId="0">
      <alignment horizontal="center"/>
    </xf>
    <xf numFmtId="0" fontId="7" fillId="7" borderId="1" applyAlignment="1" pivotButton="0" quotePrefix="0" xfId="0">
      <alignment horizontal="center"/>
    </xf>
    <xf numFmtId="0" fontId="7" fillId="8" borderId="1" applyAlignment="1" pivotButton="0" quotePrefix="0" xfId="0">
      <alignment horizontal="center"/>
    </xf>
    <xf numFmtId="0" fontId="7" fillId="9" borderId="1" applyAlignment="1" pivotButton="0" quotePrefix="0" xfId="0">
      <alignment horizontal="center"/>
    </xf>
    <xf numFmtId="0" fontId="7" fillId="10" borderId="1" applyAlignment="1" pivotButton="0" quotePrefix="0" xfId="0">
      <alignment horizontal="center"/>
    </xf>
    <xf numFmtId="0" fontId="4" fillId="0" borderId="1" applyAlignment="1" pivotButton="0" quotePrefix="0" xfId="0">
      <alignment vertical="center"/>
    </xf>
    <xf numFmtId="0" fontId="4" fillId="4" borderId="1" applyAlignment="1" pivotButton="0" quotePrefix="0" xfId="0">
      <alignment vertical="center"/>
    </xf>
    <xf numFmtId="0" fontId="4" fillId="0" borderId="1" applyAlignment="1" pivotButton="0" quotePrefix="0" xfId="0">
      <alignment vertical="center" wrapText="1"/>
    </xf>
    <xf numFmtId="0" fontId="3" fillId="8" borderId="1" applyAlignment="1" pivotButton="0" quotePrefix="0" xfId="0">
      <alignment horizontal="center" vertical="center"/>
    </xf>
    <xf numFmtId="0" fontId="4" fillId="4" borderId="1" applyAlignment="1" pivotButton="0" quotePrefix="0" xfId="0">
      <alignment vertical="center" wrapText="1"/>
    </xf>
    <xf numFmtId="0" fontId="3" fillId="6" borderId="1" applyAlignment="1" pivotButton="0" quotePrefix="0" xfId="0">
      <alignment horizontal="center" vertical="center"/>
    </xf>
    <xf numFmtId="0" fontId="3" fillId="9" borderId="1" applyAlignment="1" pivotButton="0" quotePrefix="0" xfId="0">
      <alignment horizontal="center" vertical="center"/>
    </xf>
    <xf numFmtId="0" fontId="3" fillId="4" borderId="1" applyAlignment="1" pivotButton="0" quotePrefix="0" xfId="0">
      <alignment horizontal="center" vertical="center"/>
    </xf>
    <xf numFmtId="0" fontId="5" fillId="0" borderId="0" pivotButton="0" quotePrefix="0" xfId="0"/>
    <xf numFmtId="0" fontId="2" fillId="3" borderId="1" applyAlignment="1" pivotButton="0" quotePrefix="0" xfId="0">
      <alignment vertical="center" indent="1"/>
    </xf>
    <xf numFmtId="0" fontId="0" fillId="3" borderId="1" pivotButton="0" quotePrefix="0" xfId="0"/>
    <xf numFmtId="0" fontId="3" fillId="7" borderId="1" applyAlignment="1" pivotButton="0" quotePrefix="0" xfId="0">
      <alignment horizontal="center" vertical="center"/>
    </xf>
    <xf numFmtId="0" fontId="3" fillId="10" borderId="1" applyAlignment="1" pivotButton="0" quotePrefix="0" xfId="0">
      <alignment horizontal="center" vertical="center"/>
    </xf>
    <xf numFmtId="0" fontId="2" fillId="11" borderId="1" applyAlignment="1" pivotButton="0" quotePrefix="0" xfId="0">
      <alignment vertical="center" indent="1"/>
    </xf>
    <xf numFmtId="0" fontId="0" fillId="11" borderId="1" pivotButton="0" quotePrefix="0" xfId="0"/>
    <xf numFmtId="0" fontId="4" fillId="12" borderId="1" applyAlignment="1" pivotButton="0" quotePrefix="0" xfId="0">
      <alignment horizontal="center" vertical="center"/>
    </xf>
    <xf numFmtId="0" fontId="4" fillId="12" borderId="1" applyAlignment="1" pivotButton="0" quotePrefix="0" xfId="0">
      <alignment vertical="center" wrapText="1"/>
    </xf>
    <xf numFmtId="0" fontId="0" fillId="5" borderId="1" pivotButton="0" quotePrefix="0" xfId="0"/>
    <xf numFmtId="0" fontId="3" fillId="13" borderId="1" pivotButton="0" quotePrefix="0" xfId="0"/>
    <xf numFmtId="0" fontId="3" fillId="13" borderId="1" applyAlignment="1" pivotButton="0" quotePrefix="0" xfId="0">
      <alignment horizontal="center"/>
    </xf>
    <xf numFmtId="0" fontId="0" fillId="13" borderId="1" pivotButton="0" quotePrefix="0" xfId="0"/>
    <xf numFmtId="0" fontId="3" fillId="6" borderId="1" pivotButton="0" quotePrefix="0" xfId="0"/>
    <xf numFmtId="0" fontId="3" fillId="6" borderId="1" applyAlignment="1" pivotButton="0" quotePrefix="0" xfId="0">
      <alignment horizontal="center"/>
    </xf>
    <xf numFmtId="0" fontId="0" fillId="6" borderId="1" pivotButton="0" quotePrefix="0" xfId="0"/>
    <xf numFmtId="0" fontId="3" fillId="7" borderId="1" pivotButton="0" quotePrefix="0" xfId="0"/>
    <xf numFmtId="0" fontId="3" fillId="7" borderId="1" applyAlignment="1" pivotButton="0" quotePrefix="0" xfId="0">
      <alignment horizontal="center"/>
    </xf>
    <xf numFmtId="0" fontId="0" fillId="7" borderId="1" pivotButton="0" quotePrefix="0" xfId="0"/>
    <xf numFmtId="0" fontId="3" fillId="8" borderId="1" pivotButton="0" quotePrefix="0" xfId="0"/>
    <xf numFmtId="0" fontId="3" fillId="8" borderId="1" applyAlignment="1" pivotButton="0" quotePrefix="0" xfId="0">
      <alignment horizontal="center"/>
    </xf>
    <xf numFmtId="0" fontId="0" fillId="8" borderId="1" pivotButton="0" quotePrefix="0" xfId="0"/>
    <xf numFmtId="0" fontId="3" fillId="9" borderId="1" pivotButton="0" quotePrefix="0" xfId="0"/>
    <xf numFmtId="0" fontId="3" fillId="9" borderId="1" applyAlignment="1" pivotButton="0" quotePrefix="0" xfId="0">
      <alignment horizontal="center"/>
    </xf>
    <xf numFmtId="0" fontId="0" fillId="9" borderId="1" pivotButton="0" quotePrefix="0" xfId="0"/>
    <xf numFmtId="0" fontId="3" fillId="10" borderId="1" pivotButton="0" quotePrefix="0" xfId="0"/>
    <xf numFmtId="0" fontId="3" fillId="10" borderId="1" applyAlignment="1" pivotButton="0" quotePrefix="0" xfId="0">
      <alignment horizontal="center"/>
    </xf>
    <xf numFmtId="0" fontId="0" fillId="10" borderId="1" pivotButton="0" quotePrefix="0" xfId="0"/>
    <xf numFmtId="0" fontId="3" fillId="12" borderId="1" pivotButton="0" quotePrefix="0" xfId="0"/>
    <xf numFmtId="0" fontId="3" fillId="12" borderId="1" applyAlignment="1" pivotButton="0" quotePrefix="0" xfId="0">
      <alignment horizontal="center"/>
    </xf>
    <xf numFmtId="0" fontId="0" fillId="12"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4" customWidth="1" min="10" max="10"/>
  </cols>
  <sheetData>
    <row r="1" ht="28" customHeight="1">
      <c r="A1" s="1" t="inlineStr">
        <is>
          <t>MHC Men's Section 2026 — Squad Registration Dashboard</t>
        </is>
      </c>
    </row>
    <row r="2" ht="5" customHeight="1"/>
    <row r="3" ht="20" customHeight="1">
      <c r="A3" s="2" t="inlineStr">
        <is>
          <t>Team</t>
        </is>
      </c>
      <c r="B3" s="2" t="inlineStr">
        <is>
          <t>Squad Size</t>
        </is>
      </c>
      <c r="C3" s="2" t="inlineStr">
        <is>
          <t>Main Squad</t>
        </is>
      </c>
      <c r="D3" s="2" t="inlineStr">
        <is>
          <t>Fill-ins</t>
        </is>
      </c>
      <c r="E3" s="2" t="inlineStr">
        <is>
          <t>Planning</t>
        </is>
      </c>
      <c r="F3" s="2" t="inlineStr">
        <is>
          <t>Unsure</t>
        </is>
      </c>
      <c r="G3" s="2" t="inlineStr">
        <is>
          <t>Unlikely</t>
        </is>
      </c>
      <c r="H3" s="2" t="inlineStr">
        <is>
          <t>Not Heard From</t>
        </is>
      </c>
      <c r="I3" s="2" t="inlineStr">
        <is>
          <t>Not Returning</t>
        </is>
      </c>
      <c r="J3" s="2" t="inlineStr">
        <is>
          <t>Fill-in Only</t>
        </is>
      </c>
    </row>
    <row r="4" ht="20" customHeight="1">
      <c r="A4" s="3" t="inlineStr">
        <is>
          <t>PL — Pennant League</t>
        </is>
      </c>
      <c r="B4" s="4" t="n">
        <v>36</v>
      </c>
      <c r="C4" s="4" t="n">
        <v>20</v>
      </c>
      <c r="D4" s="4" t="n">
        <v>16</v>
      </c>
      <c r="E4" s="4" t="n">
        <v>12</v>
      </c>
      <c r="F4" s="4" t="n">
        <v>1</v>
      </c>
      <c r="G4" s="4" t="n">
        <v>3</v>
      </c>
      <c r="H4" s="4" t="n">
        <v>2</v>
      </c>
      <c r="I4" s="4" t="n">
        <v>2</v>
      </c>
      <c r="J4" s="4" t="n">
        <v>0</v>
      </c>
    </row>
    <row r="5" ht="20" customHeight="1">
      <c r="A5" s="3" t="inlineStr">
        <is>
          <t>PLR — Pennant League Reserves</t>
        </is>
      </c>
      <c r="B5" s="5" t="n">
        <v>32</v>
      </c>
      <c r="C5" s="5" t="n">
        <v>19</v>
      </c>
      <c r="D5" s="5" t="n">
        <v>13</v>
      </c>
      <c r="E5" s="5" t="n">
        <v>17</v>
      </c>
      <c r="F5" s="5" t="n">
        <v>0</v>
      </c>
      <c r="G5" s="5" t="n">
        <v>1</v>
      </c>
      <c r="H5" s="5" t="n">
        <v>0</v>
      </c>
      <c r="I5" s="5" t="n">
        <v>1</v>
      </c>
      <c r="J5" s="5" t="n">
        <v>0</v>
      </c>
    </row>
    <row r="6" ht="20" customHeight="1">
      <c r="A6" s="3" t="inlineStr">
        <is>
          <t>PB — Pennant B</t>
        </is>
      </c>
      <c r="B6" s="4" t="n">
        <v>30</v>
      </c>
      <c r="C6" s="4" t="n">
        <v>18</v>
      </c>
      <c r="D6" s="4" t="n">
        <v>12</v>
      </c>
      <c r="E6" s="4" t="n">
        <v>13</v>
      </c>
      <c r="F6" s="4" t="n">
        <v>0</v>
      </c>
      <c r="G6" s="4" t="n">
        <v>1</v>
      </c>
      <c r="H6" s="4" t="n">
        <v>3</v>
      </c>
      <c r="I6" s="4" t="n">
        <v>1</v>
      </c>
      <c r="J6" s="4" t="n">
        <v>0</v>
      </c>
    </row>
    <row r="7" ht="20" customHeight="1">
      <c r="A7" s="3" t="inlineStr">
        <is>
          <t>PC — Pennant C</t>
        </is>
      </c>
      <c r="B7" s="5" t="n">
        <v>37</v>
      </c>
      <c r="C7" s="5" t="n">
        <v>18</v>
      </c>
      <c r="D7" s="5" t="n">
        <v>19</v>
      </c>
      <c r="E7" s="5" t="n">
        <v>6</v>
      </c>
      <c r="F7" s="5" t="n">
        <v>0</v>
      </c>
      <c r="G7" s="5" t="n">
        <v>0</v>
      </c>
      <c r="H7" s="5" t="n">
        <v>11</v>
      </c>
      <c r="I7" s="5" t="n">
        <v>1</v>
      </c>
      <c r="J7" s="5" t="n">
        <v>0</v>
      </c>
    </row>
    <row r="8" ht="20" customHeight="1">
      <c r="A8" s="3" t="inlineStr">
        <is>
          <t>PE — Pennant E</t>
        </is>
      </c>
      <c r="B8" s="4" t="n">
        <v>39</v>
      </c>
      <c r="C8" s="4" t="n">
        <v>21</v>
      </c>
      <c r="D8" s="4" t="n">
        <v>18</v>
      </c>
      <c r="E8" s="4" t="n">
        <v>11</v>
      </c>
      <c r="F8" s="4" t="n">
        <v>0</v>
      </c>
      <c r="G8" s="4" t="n">
        <v>1</v>
      </c>
      <c r="H8" s="4" t="n">
        <v>8</v>
      </c>
      <c r="I8" s="4" t="n">
        <v>0</v>
      </c>
      <c r="J8" s="4" t="n">
        <v>1</v>
      </c>
    </row>
    <row r="9" ht="20" customHeight="1">
      <c r="A9" s="3" t="inlineStr">
        <is>
          <t>Metro</t>
        </is>
      </c>
      <c r="B9" s="5" t="n">
        <v>41</v>
      </c>
      <c r="C9" s="5" t="n">
        <v>32</v>
      </c>
      <c r="D9" s="5" t="n">
        <v>9</v>
      </c>
      <c r="E9" s="5" t="n">
        <v>15</v>
      </c>
      <c r="F9" s="5" t="n">
        <v>2</v>
      </c>
      <c r="G9" s="5" t="n">
        <v>3</v>
      </c>
      <c r="H9" s="5" t="n">
        <v>9</v>
      </c>
      <c r="I9" s="5" t="n">
        <v>0</v>
      </c>
      <c r="J9" s="5" t="n">
        <v>3</v>
      </c>
    </row>
    <row r="10" ht="20" customHeight="1">
      <c r="A10" s="6" t="inlineStr">
        <is>
          <t>TOTALS</t>
        </is>
      </c>
      <c r="B10" s="7">
        <f>SUM(B4:B9)</f>
        <v/>
      </c>
      <c r="C10" s="7">
        <f>SUM(C4:C9)</f>
        <v/>
      </c>
      <c r="D10" s="7">
        <f>SUM(D4:D9)</f>
        <v/>
      </c>
      <c r="E10" s="7">
        <f>SUM(E4:E9)</f>
        <v/>
      </c>
      <c r="F10" s="7">
        <f>SUM(F4:F9)</f>
        <v/>
      </c>
      <c r="G10" s="7">
        <f>SUM(G4:G9)</f>
        <v/>
      </c>
      <c r="H10" s="7">
        <f>SUM(H4:H9)</f>
        <v/>
      </c>
      <c r="I10" s="7">
        <f>SUM(I4:I9)</f>
        <v/>
      </c>
      <c r="J10" s="7">
        <f>SUM(J4:J9)</f>
        <v/>
      </c>
    </row>
    <row r="11" ht="6" customHeight="1"/>
    <row r="12">
      <c r="A12" s="8" t="inlineStr">
        <is>
          <t>Total unique players: 128</t>
        </is>
      </c>
    </row>
    <row r="13" ht="6" customHeight="1"/>
    <row r="14" ht="16" customHeight="1">
      <c r="A14" s="9" t="inlineStr">
        <is>
          <t>LEGEND:</t>
        </is>
      </c>
      <c r="B14" s="10" t="inlineStr">
        <is>
          <t>Planning to play</t>
        </is>
      </c>
      <c r="C14" s="11" t="inlineStr">
        <is>
          <t>Unsure</t>
        </is>
      </c>
      <c r="D14" s="12" t="inlineStr">
        <is>
          <t>Unlikely to play</t>
        </is>
      </c>
      <c r="E14" s="13" t="inlineStr">
        <is>
          <t>Not heard from</t>
        </is>
      </c>
      <c r="F14" s="14" t="inlineStr">
        <is>
          <t>Not returning</t>
        </is>
      </c>
      <c r="G14" s="13" t="inlineStr">
        <is>
          <t>Fill-in only</t>
        </is>
      </c>
    </row>
  </sheetData>
  <mergeCells count="1">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cols>
    <col width="5" customWidth="1" min="1" max="1"/>
    <col width="26" customWidth="1" min="2" max="2"/>
    <col width="12" customWidth="1" min="3" max="3"/>
    <col width="22" customWidth="1" min="4" max="4"/>
    <col width="42" customWidth="1" min="5" max="5"/>
    <col width="30" customWidth="1" min="6" max="6"/>
  </cols>
  <sheetData>
    <row r="1" ht="28" customHeight="1">
      <c r="A1" s="1" t="inlineStr">
        <is>
          <t>Not Heard From</t>
        </is>
      </c>
    </row>
    <row r="2" ht="5" customHeight="1"/>
    <row r="3" ht="18" customHeight="1">
      <c r="A3" s="2" t="inlineStr">
        <is>
          <t>#</t>
        </is>
      </c>
      <c r="B3" s="2" t="inlineStr">
        <is>
          <t>Player</t>
        </is>
      </c>
      <c r="C3" s="2" t="inlineStr">
        <is>
          <t>2025 Games</t>
        </is>
      </c>
      <c r="D3" s="2" t="inlineStr">
        <is>
          <t>Main Team</t>
        </is>
      </c>
      <c r="E3" s="2" t="inlineStr">
        <is>
          <t>Notes</t>
        </is>
      </c>
      <c r="F3" s="2" t="inlineStr">
        <is>
          <t>Also played in</t>
        </is>
      </c>
    </row>
    <row r="4" ht="18" customHeight="1">
      <c r="A4" s="4" t="n">
        <v>1</v>
      </c>
      <c r="B4" s="15" t="inlineStr">
        <is>
          <t>Alexander Stock</t>
        </is>
      </c>
      <c r="C4" s="4" t="n">
        <v>14</v>
      </c>
      <c r="D4" s="4" t="inlineStr">
        <is>
          <t>PB — Pennant B</t>
        </is>
      </c>
      <c r="E4" s="15" t="inlineStr"/>
      <c r="F4" s="15" t="inlineStr">
        <is>
          <t>PC(1)</t>
        </is>
      </c>
    </row>
    <row r="5" ht="18" customHeight="1">
      <c r="A5" s="5" t="n">
        <v>2</v>
      </c>
      <c r="B5" s="16" t="inlineStr">
        <is>
          <t>Lachie White</t>
        </is>
      </c>
      <c r="C5" s="5" t="n">
        <v>14</v>
      </c>
      <c r="D5" s="5" t="inlineStr">
        <is>
          <t>PB — Pennant B</t>
        </is>
      </c>
      <c r="E5" s="16" t="inlineStr"/>
      <c r="F5" s="16" t="inlineStr">
        <is>
          <t>PC(1)</t>
        </is>
      </c>
    </row>
    <row r="6" ht="18" customHeight="1">
      <c r="A6" s="4" t="n">
        <v>3</v>
      </c>
      <c r="B6" s="15" t="inlineStr">
        <is>
          <t>Riley Paulauskas</t>
        </is>
      </c>
      <c r="C6" s="4" t="n">
        <v>14</v>
      </c>
      <c r="D6" s="4" t="inlineStr">
        <is>
          <t>PC — Pennant C</t>
        </is>
      </c>
      <c r="E6" s="15" t="inlineStr"/>
      <c r="F6" s="15" t="inlineStr">
        <is>
          <t>PB(1)</t>
        </is>
      </c>
    </row>
    <row r="7" ht="18" customHeight="1">
      <c r="A7" s="5" t="n">
        <v>4</v>
      </c>
      <c r="B7" s="16" t="inlineStr">
        <is>
          <t>Zac Hamilton</t>
        </is>
      </c>
      <c r="C7" s="5" t="n">
        <v>14</v>
      </c>
      <c r="D7" s="5" t="inlineStr">
        <is>
          <t>PE — Pennant E</t>
        </is>
      </c>
      <c r="E7" s="16" t="inlineStr"/>
      <c r="F7" s="16" t="inlineStr">
        <is>
          <t>Metro(2)</t>
        </is>
      </c>
    </row>
    <row r="8" ht="18" customHeight="1">
      <c r="A8" s="4" t="n">
        <v>5</v>
      </c>
      <c r="B8" s="15" t="inlineStr">
        <is>
          <t>Luke Watkins</t>
        </is>
      </c>
      <c r="C8" s="4" t="n">
        <v>13</v>
      </c>
      <c r="D8" s="4" t="inlineStr">
        <is>
          <t>Metro</t>
        </is>
      </c>
      <c r="E8" s="15" t="inlineStr"/>
      <c r="F8" s="15" t="inlineStr">
        <is>
          <t>—</t>
        </is>
      </c>
    </row>
    <row r="9" ht="18" customHeight="1">
      <c r="A9" s="5" t="n">
        <v>6</v>
      </c>
      <c r="B9" s="16" t="inlineStr">
        <is>
          <t>Daniel N Bowen</t>
        </is>
      </c>
      <c r="C9" s="5" t="n">
        <v>11</v>
      </c>
      <c r="D9" s="5" t="inlineStr">
        <is>
          <t>PC — Pennant C</t>
        </is>
      </c>
      <c r="E9" s="16" t="inlineStr"/>
      <c r="F9" s="16" t="inlineStr">
        <is>
          <t>—</t>
        </is>
      </c>
    </row>
    <row r="10" ht="18" customHeight="1">
      <c r="A10" s="4" t="n">
        <v>7</v>
      </c>
      <c r="B10" s="15" t="inlineStr">
        <is>
          <t>Darren D'Souza</t>
        </is>
      </c>
      <c r="C10" s="4" t="n">
        <v>11</v>
      </c>
      <c r="D10" s="4" t="inlineStr">
        <is>
          <t>PC — Pennant C</t>
        </is>
      </c>
      <c r="E10" s="15" t="inlineStr"/>
      <c r="F10" s="15" t="inlineStr">
        <is>
          <t>PE(1)</t>
        </is>
      </c>
    </row>
    <row r="11" ht="18" customHeight="1">
      <c r="A11" s="5" t="n">
        <v>8</v>
      </c>
      <c r="B11" s="16" t="inlineStr">
        <is>
          <t>Stuart Quenette</t>
        </is>
      </c>
      <c r="C11" s="5" t="n">
        <v>11</v>
      </c>
      <c r="D11" s="5" t="inlineStr">
        <is>
          <t>PC — Pennant C</t>
        </is>
      </c>
      <c r="E11" s="16" t="inlineStr"/>
      <c r="F11" s="16" t="inlineStr">
        <is>
          <t>PE(2)</t>
        </is>
      </c>
    </row>
    <row r="12" ht="18" customHeight="1">
      <c r="A12" s="4" t="n">
        <v>9</v>
      </c>
      <c r="B12" s="15" t="inlineStr">
        <is>
          <t>Asher Bunyon</t>
        </is>
      </c>
      <c r="C12" s="4" t="n">
        <v>11</v>
      </c>
      <c r="D12" s="4" t="inlineStr">
        <is>
          <t>PE — Pennant E</t>
        </is>
      </c>
      <c r="E12" s="15" t="inlineStr"/>
      <c r="F12" s="15" t="inlineStr">
        <is>
          <t>—</t>
        </is>
      </c>
    </row>
    <row r="13" ht="18" customHeight="1">
      <c r="A13" s="5" t="n">
        <v>10</v>
      </c>
      <c r="B13" s="16" t="inlineStr">
        <is>
          <t>Aiden Jooste</t>
        </is>
      </c>
      <c r="C13" s="5" t="n">
        <v>11</v>
      </c>
      <c r="D13" s="5" t="inlineStr">
        <is>
          <t>Metro</t>
        </is>
      </c>
      <c r="E13" s="16" t="inlineStr"/>
      <c r="F13" s="16" t="inlineStr">
        <is>
          <t>PE(2)</t>
        </is>
      </c>
    </row>
    <row r="14" ht="18" customHeight="1">
      <c r="A14" s="4" t="n">
        <v>11</v>
      </c>
      <c r="B14" s="15" t="inlineStr">
        <is>
          <t>Vanson Harwood</t>
        </is>
      </c>
      <c r="C14" s="4" t="n">
        <v>11</v>
      </c>
      <c r="D14" s="4" t="inlineStr">
        <is>
          <t>Metro</t>
        </is>
      </c>
      <c r="E14" s="15" t="inlineStr"/>
      <c r="F14" s="15" t="inlineStr">
        <is>
          <t>—</t>
        </is>
      </c>
    </row>
    <row r="15" ht="18" customHeight="1">
      <c r="A15" s="5" t="n">
        <v>12</v>
      </c>
      <c r="B15" s="16" t="inlineStr">
        <is>
          <t>Scott Boucher</t>
        </is>
      </c>
      <c r="C15" s="5" t="n">
        <v>10</v>
      </c>
      <c r="D15" s="5" t="inlineStr">
        <is>
          <t>PC — Pennant C</t>
        </is>
      </c>
      <c r="E15" s="16" t="inlineStr"/>
      <c r="F15" s="16" t="inlineStr">
        <is>
          <t>—</t>
        </is>
      </c>
    </row>
    <row r="16" ht="18" customHeight="1">
      <c r="A16" s="4" t="n">
        <v>13</v>
      </c>
      <c r="B16" s="15" t="inlineStr">
        <is>
          <t>Phillip Crane</t>
        </is>
      </c>
      <c r="C16" s="4" t="n">
        <v>10</v>
      </c>
      <c r="D16" s="4" t="inlineStr">
        <is>
          <t>PE — Pennant E</t>
        </is>
      </c>
      <c r="E16" s="15" t="inlineStr"/>
      <c r="F16" s="15" t="inlineStr">
        <is>
          <t>—</t>
        </is>
      </c>
    </row>
    <row r="17" ht="18" customHeight="1">
      <c r="A17" s="5" t="n">
        <v>14</v>
      </c>
      <c r="B17" s="16" t="inlineStr">
        <is>
          <t>Thomas Lapa</t>
        </is>
      </c>
      <c r="C17" s="5" t="n">
        <v>9</v>
      </c>
      <c r="D17" s="5" t="inlineStr">
        <is>
          <t>PC — Pennant C</t>
        </is>
      </c>
      <c r="E17" s="16" t="inlineStr"/>
      <c r="F17" s="16" t="inlineStr">
        <is>
          <t>PB(5), PLR(1)</t>
        </is>
      </c>
    </row>
    <row r="18" ht="18" customHeight="1">
      <c r="A18" s="4" t="n">
        <v>15</v>
      </c>
      <c r="B18" s="15" t="inlineStr">
        <is>
          <t>Yoshi Fujihara</t>
        </is>
      </c>
      <c r="C18" s="4" t="n">
        <v>8</v>
      </c>
      <c r="D18" s="4" t="inlineStr">
        <is>
          <t>PC — Pennant C</t>
        </is>
      </c>
      <c r="E18" s="15" t="inlineStr"/>
      <c r="F18" s="15" t="inlineStr">
        <is>
          <t>PE(5), Metro(1)</t>
        </is>
      </c>
    </row>
    <row r="19" ht="18" customHeight="1">
      <c r="A19" s="5" t="n">
        <v>16</v>
      </c>
      <c r="B19" s="16" t="inlineStr">
        <is>
          <t>Calum Mcdermott</t>
        </is>
      </c>
      <c r="C19" s="5" t="n">
        <v>8</v>
      </c>
      <c r="D19" s="5" t="inlineStr">
        <is>
          <t>PE — Pennant E</t>
        </is>
      </c>
      <c r="E19" s="16" t="inlineStr"/>
      <c r="F19" s="16" t="inlineStr">
        <is>
          <t>PC(1), Metro(1)</t>
        </is>
      </c>
    </row>
    <row r="20" ht="18" customHeight="1">
      <c r="A20" s="4" t="n">
        <v>17</v>
      </c>
      <c r="B20" s="15" t="inlineStr">
        <is>
          <t>Waseem Ahmad</t>
        </is>
      </c>
      <c r="C20" s="4" t="n">
        <v>5</v>
      </c>
      <c r="D20" s="4" t="inlineStr">
        <is>
          <t>PL — Pennant League</t>
        </is>
      </c>
      <c r="E20" s="15" t="inlineStr"/>
      <c r="F20" s="15" t="inlineStr">
        <is>
          <t>PLR(2)</t>
        </is>
      </c>
    </row>
    <row r="21" ht="18" customHeight="1">
      <c r="A21" s="5" t="n">
        <v>18</v>
      </c>
      <c r="B21" s="16" t="inlineStr">
        <is>
          <t>Damian Ord</t>
        </is>
      </c>
      <c r="C21" s="5" t="n">
        <v>5</v>
      </c>
      <c r="D21" s="5" t="inlineStr">
        <is>
          <t>Metro</t>
        </is>
      </c>
      <c r="E21" s="16" t="inlineStr"/>
      <c r="F21" s="16" t="inlineStr">
        <is>
          <t>PE(1)</t>
        </is>
      </c>
    </row>
    <row r="22" ht="18" customHeight="1">
      <c r="A22" s="4" t="n">
        <v>19</v>
      </c>
      <c r="B22" s="15" t="inlineStr">
        <is>
          <t>Marcus Welsh</t>
        </is>
      </c>
      <c r="C22" s="4" t="n">
        <v>5</v>
      </c>
      <c r="D22" s="4" t="inlineStr">
        <is>
          <t>Metro</t>
        </is>
      </c>
      <c r="E22" s="15" t="inlineStr"/>
      <c r="F22" s="15" t="inlineStr">
        <is>
          <t>—</t>
        </is>
      </c>
    </row>
    <row r="23" ht="18" customHeight="1">
      <c r="A23" s="5" t="n">
        <v>20</v>
      </c>
      <c r="B23" s="16" t="inlineStr">
        <is>
          <t>Jason Back</t>
        </is>
      </c>
      <c r="C23" s="5" t="n">
        <v>4</v>
      </c>
      <c r="D23" s="5" t="inlineStr">
        <is>
          <t>PE — Pennant E</t>
        </is>
      </c>
      <c r="E23" s="16" t="inlineStr"/>
      <c r="F23" s="16" t="inlineStr">
        <is>
          <t>—</t>
        </is>
      </c>
    </row>
    <row r="24" ht="18" customHeight="1">
      <c r="A24" s="4" t="n">
        <v>21</v>
      </c>
      <c r="B24" s="15" t="inlineStr">
        <is>
          <t>Pieter Vandevelde</t>
        </is>
      </c>
      <c r="C24" s="4" t="n">
        <v>4</v>
      </c>
      <c r="D24" s="4" t="inlineStr">
        <is>
          <t>PE — Pennant E</t>
        </is>
      </c>
      <c r="E24" s="15" t="inlineStr"/>
      <c r="F24" s="15" t="inlineStr">
        <is>
          <t>—</t>
        </is>
      </c>
    </row>
    <row r="25" ht="18" customHeight="1">
      <c r="A25" s="5" t="n">
        <v>22</v>
      </c>
      <c r="B25" s="16" t="inlineStr">
        <is>
          <t>Alexander Bowen</t>
        </is>
      </c>
      <c r="C25" s="5" t="n">
        <v>3</v>
      </c>
      <c r="D25" s="5" t="inlineStr">
        <is>
          <t>PC — Pennant C</t>
        </is>
      </c>
      <c r="E25" s="16" t="inlineStr"/>
      <c r="F25" s="16" t="inlineStr">
        <is>
          <t>—</t>
        </is>
      </c>
    </row>
    <row r="26" ht="18" customHeight="1">
      <c r="A26" s="4" t="n">
        <v>23</v>
      </c>
      <c r="B26" s="15" t="inlineStr">
        <is>
          <t>Cory Mclean</t>
        </is>
      </c>
      <c r="C26" s="4" t="n">
        <v>3</v>
      </c>
      <c r="D26" s="4" t="inlineStr">
        <is>
          <t>PC — Pennant C</t>
        </is>
      </c>
      <c r="E26" s="15" t="inlineStr"/>
      <c r="F26" s="15" t="inlineStr">
        <is>
          <t>—</t>
        </is>
      </c>
    </row>
    <row r="27" ht="18" customHeight="1">
      <c r="A27" s="5" t="n">
        <v>24</v>
      </c>
      <c r="B27" s="16" t="inlineStr">
        <is>
          <t>Fletcher Gowdie</t>
        </is>
      </c>
      <c r="C27" s="5" t="n">
        <v>3</v>
      </c>
      <c r="D27" s="5" t="inlineStr">
        <is>
          <t>Metro</t>
        </is>
      </c>
      <c r="E27" s="16" t="inlineStr"/>
      <c r="F27" s="16" t="inlineStr">
        <is>
          <t>PE(1)</t>
        </is>
      </c>
    </row>
    <row r="28" ht="18" customHeight="1">
      <c r="A28" s="4" t="n">
        <v>25</v>
      </c>
      <c r="B28" s="15" t="inlineStr">
        <is>
          <t>Yashdeep Siwach</t>
        </is>
      </c>
      <c r="C28" s="4" t="n">
        <v>2</v>
      </c>
      <c r="D28" s="4" t="inlineStr">
        <is>
          <t>PL — Pennant League</t>
        </is>
      </c>
      <c r="E28" s="15" t="inlineStr"/>
      <c r="F28" s="15" t="inlineStr">
        <is>
          <t>—</t>
        </is>
      </c>
    </row>
    <row r="29" ht="18" customHeight="1">
      <c r="A29" s="5" t="n">
        <v>26</v>
      </c>
      <c r="B29" s="16" t="inlineStr">
        <is>
          <t>Adrian Jones</t>
        </is>
      </c>
      <c r="C29" s="5" t="n">
        <v>2</v>
      </c>
      <c r="D29" s="5" t="inlineStr">
        <is>
          <t>PC — Pennant C</t>
        </is>
      </c>
      <c r="E29" s="16" t="inlineStr"/>
      <c r="F29" s="16" t="inlineStr">
        <is>
          <t>—</t>
        </is>
      </c>
    </row>
    <row r="30" ht="18" customHeight="1">
      <c r="A30" s="4" t="n">
        <v>27</v>
      </c>
      <c r="B30" s="15" t="inlineStr">
        <is>
          <t>Tom Brook</t>
        </is>
      </c>
      <c r="C30" s="4" t="n">
        <v>2</v>
      </c>
      <c r="D30" s="4" t="inlineStr">
        <is>
          <t>PE — Pennant E</t>
        </is>
      </c>
      <c r="E30" s="15" t="inlineStr"/>
      <c r="F30" s="15" t="inlineStr">
        <is>
          <t>—</t>
        </is>
      </c>
    </row>
    <row r="31" ht="18" customHeight="1">
      <c r="A31" s="5" t="n">
        <v>28</v>
      </c>
      <c r="B31" s="16" t="inlineStr">
        <is>
          <t>Michael Kean</t>
        </is>
      </c>
      <c r="C31" s="5" t="n">
        <v>2</v>
      </c>
      <c r="D31" s="5" t="inlineStr">
        <is>
          <t>Metro</t>
        </is>
      </c>
      <c r="E31" s="16" t="inlineStr"/>
      <c r="F31" s="16" t="inlineStr">
        <is>
          <t>—</t>
        </is>
      </c>
    </row>
    <row r="32" ht="18" customHeight="1">
      <c r="A32" s="4" t="n">
        <v>29</v>
      </c>
      <c r="B32" s="15" t="inlineStr">
        <is>
          <t>Ryan Janssen</t>
        </is>
      </c>
      <c r="C32" s="4" t="n">
        <v>1</v>
      </c>
      <c r="D32" s="4" t="inlineStr">
        <is>
          <t>PB — Pennant B</t>
        </is>
      </c>
      <c r="E32" s="15" t="inlineStr"/>
      <c r="F32" s="15" t="inlineStr">
        <is>
          <t>PC(1)</t>
        </is>
      </c>
    </row>
    <row r="33" ht="18" customHeight="1">
      <c r="A33" s="5" t="n">
        <v>30</v>
      </c>
      <c r="B33" s="16" t="inlineStr">
        <is>
          <t>Taye Cahoon</t>
        </is>
      </c>
      <c r="C33" s="5" t="n">
        <v>1</v>
      </c>
      <c r="D33" s="5" t="inlineStr">
        <is>
          <t>PC — Pennant C</t>
        </is>
      </c>
      <c r="E33" s="16" t="inlineStr"/>
      <c r="F33" s="16" t="inlineStr">
        <is>
          <t>PE(1)</t>
        </is>
      </c>
    </row>
    <row r="34" ht="18" customHeight="1">
      <c r="A34" s="4" t="n">
        <v>31</v>
      </c>
      <c r="B34" s="15" t="inlineStr">
        <is>
          <t>Simon Rodgers</t>
        </is>
      </c>
      <c r="C34" s="4" t="n">
        <v>1</v>
      </c>
      <c r="D34" s="4" t="inlineStr">
        <is>
          <t>PE — Pennant E</t>
        </is>
      </c>
      <c r="E34" s="15" t="inlineStr"/>
      <c r="F34" s="15" t="inlineStr">
        <is>
          <t>Metro(1)</t>
        </is>
      </c>
    </row>
    <row r="35" ht="18" customHeight="1">
      <c r="A35" s="5" t="n">
        <v>32</v>
      </c>
      <c r="B35" s="16" t="inlineStr">
        <is>
          <t>Adrian Rigg</t>
        </is>
      </c>
      <c r="C35" s="5" t="n">
        <v>1</v>
      </c>
      <c r="D35" s="5" t="inlineStr">
        <is>
          <t>Metro</t>
        </is>
      </c>
      <c r="E35" s="16" t="inlineStr"/>
      <c r="F35" s="16" t="inlineStr">
        <is>
          <t>—</t>
        </is>
      </c>
    </row>
    <row r="36" ht="18" customHeight="1">
      <c r="A36" s="4" t="n">
        <v>33</v>
      </c>
      <c r="B36" s="15" t="inlineStr">
        <is>
          <t>Richard Teirney</t>
        </is>
      </c>
      <c r="C36" s="4" t="n">
        <v>1</v>
      </c>
      <c r="D36" s="4" t="inlineStr">
        <is>
          <t>Metro</t>
        </is>
      </c>
      <c r="E36" s="15" t="inlineStr"/>
      <c r="F36" s="15" t="inlineStr">
        <is>
          <t>—</t>
        </is>
      </c>
    </row>
  </sheetData>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5" customWidth="1" min="1" max="1"/>
    <col width="26" customWidth="1" min="2" max="2"/>
    <col width="12" customWidth="1" min="3" max="3"/>
    <col width="22" customWidth="1" min="4" max="4"/>
    <col width="42" customWidth="1" min="5" max="5"/>
    <col width="30" customWidth="1" min="6" max="6"/>
  </cols>
  <sheetData>
    <row r="1" ht="28" customHeight="1">
      <c r="A1" s="1" t="inlineStr">
        <is>
          <t>Unlikely to Play</t>
        </is>
      </c>
    </row>
    <row r="2" ht="5" customHeight="1"/>
    <row r="3" ht="18" customHeight="1">
      <c r="A3" s="2" t="inlineStr">
        <is>
          <t>#</t>
        </is>
      </c>
      <c r="B3" s="2" t="inlineStr">
        <is>
          <t>Player</t>
        </is>
      </c>
      <c r="C3" s="2" t="inlineStr">
        <is>
          <t>2025 Games</t>
        </is>
      </c>
      <c r="D3" s="2" t="inlineStr">
        <is>
          <t>Main Team</t>
        </is>
      </c>
      <c r="E3" s="2" t="inlineStr">
        <is>
          <t>Notes</t>
        </is>
      </c>
      <c r="F3" s="2" t="inlineStr">
        <is>
          <t>Also played in</t>
        </is>
      </c>
    </row>
    <row r="4" ht="18" customHeight="1">
      <c r="A4" s="4" t="n">
        <v>1</v>
      </c>
      <c r="B4" s="15" t="inlineStr">
        <is>
          <t>Louis Nelson</t>
        </is>
      </c>
      <c r="C4" s="4" t="n">
        <v>16</v>
      </c>
      <c r="D4" s="4" t="inlineStr">
        <is>
          <t>PL — Pennant League</t>
        </is>
      </c>
      <c r="E4" s="15" t="inlineStr"/>
      <c r="F4" s="15" t="inlineStr">
        <is>
          <t>—</t>
        </is>
      </c>
    </row>
    <row r="5" ht="18" customHeight="1">
      <c r="A5" s="5" t="n">
        <v>2</v>
      </c>
      <c r="B5" s="16" t="inlineStr">
        <is>
          <t>Jonathon Stewart</t>
        </is>
      </c>
      <c r="C5" s="5" t="n">
        <v>12</v>
      </c>
      <c r="D5" s="5" t="inlineStr">
        <is>
          <t>PL — Pennant League</t>
        </is>
      </c>
      <c r="E5" s="16" t="inlineStr"/>
      <c r="F5" s="16" t="inlineStr">
        <is>
          <t>PLR(1)</t>
        </is>
      </c>
    </row>
    <row r="6" ht="18" customHeight="1">
      <c r="A6" s="4" t="n">
        <v>3</v>
      </c>
      <c r="B6" s="15" t="inlineStr">
        <is>
          <t>Michael Briggs</t>
        </is>
      </c>
      <c r="C6" s="4" t="n">
        <v>8</v>
      </c>
      <c r="D6" s="4" t="inlineStr">
        <is>
          <t>PLR — Pennant League Reserves</t>
        </is>
      </c>
      <c r="E6" s="15" t="inlineStr">
        <is>
          <t>May come back May/June</t>
        </is>
      </c>
      <c r="F6" s="15" t="inlineStr">
        <is>
          <t>PL(6)</t>
        </is>
      </c>
    </row>
    <row r="7" ht="18" customHeight="1">
      <c r="A7" s="5" t="n">
        <v>4</v>
      </c>
      <c r="B7" s="16" t="inlineStr">
        <is>
          <t>Allan Athaide</t>
        </is>
      </c>
      <c r="C7" s="5" t="n">
        <v>7</v>
      </c>
      <c r="D7" s="5" t="inlineStr">
        <is>
          <t>Metro</t>
        </is>
      </c>
      <c r="E7" s="16" t="inlineStr"/>
      <c r="F7" s="16" t="inlineStr">
        <is>
          <t>—</t>
        </is>
      </c>
    </row>
    <row r="8" ht="18" customHeight="1">
      <c r="A8" s="4" t="n">
        <v>5</v>
      </c>
      <c r="B8" s="15" t="inlineStr">
        <is>
          <t>Liam Alards</t>
        </is>
      </c>
      <c r="C8" s="4" t="n">
        <v>6</v>
      </c>
      <c r="D8" s="4" t="inlineStr">
        <is>
          <t>PL — Pennant League</t>
        </is>
      </c>
      <c r="E8" s="15" t="inlineStr"/>
      <c r="F8" s="15" t="inlineStr">
        <is>
          <t>PLR(1)</t>
        </is>
      </c>
    </row>
    <row r="9" ht="18" customHeight="1">
      <c r="A9" s="5" t="n">
        <v>6</v>
      </c>
      <c r="B9" s="16" t="inlineStr">
        <is>
          <t>Daniel Athaide</t>
        </is>
      </c>
      <c r="C9" s="5" t="n">
        <v>4</v>
      </c>
      <c r="D9" s="5" t="inlineStr">
        <is>
          <t>Metro</t>
        </is>
      </c>
      <c r="E9" s="16" t="inlineStr"/>
      <c r="F9" s="16" t="inlineStr">
        <is>
          <t>—</t>
        </is>
      </c>
    </row>
    <row r="10" ht="18" customHeight="1">
      <c r="A10" s="4" t="n">
        <v>7</v>
      </c>
      <c r="B10" s="15" t="inlineStr">
        <is>
          <t>Richard Bowyer</t>
        </is>
      </c>
      <c r="C10" s="4" t="n">
        <v>4</v>
      </c>
      <c r="D10" s="4" t="inlineStr">
        <is>
          <t>Metro</t>
        </is>
      </c>
      <c r="E10" s="15" t="inlineStr"/>
      <c r="F10" s="15" t="inlineStr">
        <is>
          <t>—</t>
        </is>
      </c>
    </row>
    <row r="11" ht="18" customHeight="1">
      <c r="A11" s="5" t="n">
        <v>8</v>
      </c>
      <c r="B11" s="16" t="inlineStr">
        <is>
          <t>Mayukh Bera</t>
        </is>
      </c>
      <c r="C11" s="5" t="n">
        <v>3</v>
      </c>
      <c r="D11" s="5" t="inlineStr">
        <is>
          <t>PB — Pennant B</t>
        </is>
      </c>
      <c r="E11" s="16" t="inlineStr"/>
      <c r="F11" s="16" t="inlineStr">
        <is>
          <t>—</t>
        </is>
      </c>
    </row>
    <row r="12" ht="18" customHeight="1">
      <c r="A12" s="4" t="n">
        <v>9</v>
      </c>
      <c r="B12" s="15" t="inlineStr">
        <is>
          <t>Darren Dalton</t>
        </is>
      </c>
      <c r="C12" s="4" t="n">
        <v>2</v>
      </c>
      <c r="D12" s="4" t="inlineStr">
        <is>
          <t>PE — Pennant E</t>
        </is>
      </c>
      <c r="E12" s="15" t="inlineStr"/>
      <c r="F12" s="15" t="inlineStr">
        <is>
          <t>—</t>
        </is>
      </c>
    </row>
  </sheetData>
  <mergeCells count="1">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5" customWidth="1" min="1" max="1"/>
    <col width="26" customWidth="1" min="2" max="2"/>
    <col width="12" customWidth="1" min="3" max="3"/>
    <col width="22" customWidth="1" min="4" max="4"/>
    <col width="42" customWidth="1" min="5" max="5"/>
    <col width="30" customWidth="1" min="6" max="6"/>
  </cols>
  <sheetData>
    <row r="1" ht="28" customHeight="1">
      <c r="A1" s="1" t="inlineStr">
        <is>
          <t>Not Returning</t>
        </is>
      </c>
    </row>
    <row r="2" ht="5" customHeight="1"/>
    <row r="3" ht="18" customHeight="1">
      <c r="A3" s="2" t="inlineStr">
        <is>
          <t>#</t>
        </is>
      </c>
      <c r="B3" s="2" t="inlineStr">
        <is>
          <t>Player</t>
        </is>
      </c>
      <c r="C3" s="2" t="inlineStr">
        <is>
          <t>2025 Games</t>
        </is>
      </c>
      <c r="D3" s="2" t="inlineStr">
        <is>
          <t>Main Team</t>
        </is>
      </c>
      <c r="E3" s="2" t="inlineStr">
        <is>
          <t>Notes</t>
        </is>
      </c>
      <c r="F3" s="2" t="inlineStr">
        <is>
          <t>Also played in</t>
        </is>
      </c>
    </row>
    <row r="4" ht="18" customHeight="1">
      <c r="A4" s="4" t="n">
        <v>1</v>
      </c>
      <c r="B4" s="15" t="inlineStr">
        <is>
          <t>Ben Rogalsky</t>
        </is>
      </c>
      <c r="C4" s="4" t="n">
        <v>16</v>
      </c>
      <c r="D4" s="4" t="inlineStr">
        <is>
          <t>PL — Pennant League</t>
        </is>
      </c>
      <c r="E4" s="15" t="inlineStr">
        <is>
          <t>Might make first three rounds possibly</t>
        </is>
      </c>
      <c r="F4" s="15" t="inlineStr">
        <is>
          <t>—</t>
        </is>
      </c>
    </row>
    <row r="5" ht="18" customHeight="1">
      <c r="A5" s="5" t="n">
        <v>2</v>
      </c>
      <c r="B5" s="16" t="inlineStr">
        <is>
          <t>Jules Ingram</t>
        </is>
      </c>
      <c r="C5" s="5" t="n">
        <v>15</v>
      </c>
      <c r="D5" s="5" t="inlineStr">
        <is>
          <t>PC — Pennant C</t>
        </is>
      </c>
      <c r="E5" s="16" t="inlineStr"/>
      <c r="F5" s="16" t="inlineStr">
        <is>
          <t>—</t>
        </is>
      </c>
    </row>
    <row r="6" ht="18" customHeight="1">
      <c r="A6" s="4" t="n">
        <v>3</v>
      </c>
      <c r="B6" s="15" t="inlineStr">
        <is>
          <t>Dylan Swanepoel</t>
        </is>
      </c>
      <c r="C6" s="4" t="n">
        <v>13</v>
      </c>
      <c r="D6" s="4" t="inlineStr">
        <is>
          <t>PL — Pennant League</t>
        </is>
      </c>
      <c r="E6" s="15" t="inlineStr"/>
      <c r="F6" s="15" t="inlineStr">
        <is>
          <t>—</t>
        </is>
      </c>
    </row>
    <row r="7" ht="18" customHeight="1">
      <c r="A7" s="5" t="n">
        <v>4</v>
      </c>
      <c r="B7" s="16" t="inlineStr">
        <is>
          <t>Ayrton Corben</t>
        </is>
      </c>
      <c r="C7" s="5" t="n">
        <v>9</v>
      </c>
      <c r="D7" s="5" t="inlineStr">
        <is>
          <t>PLR — Pennant League Reserves</t>
        </is>
      </c>
      <c r="E7" s="16" t="inlineStr"/>
      <c r="F7" s="16" t="inlineStr">
        <is>
          <t>PB(3), PL(1)</t>
        </is>
      </c>
    </row>
    <row r="8" ht="18" customHeight="1">
      <c r="A8" s="4" t="n">
        <v>5</v>
      </c>
      <c r="B8" s="15" t="inlineStr">
        <is>
          <t>Noah Webster</t>
        </is>
      </c>
      <c r="C8" s="4" t="n">
        <v>7</v>
      </c>
      <c r="D8" s="4" t="inlineStr">
        <is>
          <t>PB — Pennant B</t>
        </is>
      </c>
      <c r="E8" s="15" t="inlineStr"/>
      <c r="F8" s="15" t="inlineStr">
        <is>
          <t>PLR(1)</t>
        </is>
      </c>
    </row>
  </sheetData>
  <mergeCells count="1">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5" customWidth="1" min="1" max="1"/>
    <col width="26" customWidth="1" min="2" max="2"/>
    <col width="28" customWidth="1" min="3" max="3"/>
    <col width="50" customWidth="1" min="4" max="4"/>
  </cols>
  <sheetData>
    <row r="1" ht="28" customHeight="1">
      <c r="A1" s="1" t="inlineStr">
        <is>
          <t>New Registrations — In CSV but Not in Any 2025 Squad</t>
        </is>
      </c>
    </row>
    <row r="2" ht="5" customHeight="1"/>
    <row r="3" ht="18" customHeight="1">
      <c r="A3" s="2" t="inlineStr">
        <is>
          <t>#</t>
        </is>
      </c>
      <c r="B3" s="2" t="inlineStr">
        <is>
          <t>Player</t>
        </is>
      </c>
      <c r="C3" s="2" t="inlineStr">
        <is>
          <t>Availability</t>
        </is>
      </c>
      <c r="D3" s="2" t="inlineStr">
        <is>
          <t>Notes</t>
        </is>
      </c>
    </row>
    <row r="4" ht="18" customHeight="1">
      <c r="A4" s="4" t="n">
        <v>1</v>
      </c>
      <c r="B4" s="17" t="inlineStr">
        <is>
          <t>Stephen Blatherwick</t>
        </is>
      </c>
      <c r="C4" s="18" t="inlineStr">
        <is>
          <t>Unlikely to play</t>
        </is>
      </c>
      <c r="D4" s="17" t="inlineStr"/>
    </row>
    <row r="5" ht="18" customHeight="1">
      <c r="A5" s="5" t="n">
        <v>2</v>
      </c>
      <c r="B5" s="19" t="inlineStr">
        <is>
          <t>Be Bouwer</t>
        </is>
      </c>
      <c r="C5" s="20" t="inlineStr">
        <is>
          <t>Planning to play</t>
        </is>
      </c>
      <c r="D5" s="19" t="inlineStr">
        <is>
          <t>Hoping to play reserves again this year.</t>
        </is>
      </c>
    </row>
    <row r="6" ht="18" customHeight="1">
      <c r="A6" s="4" t="n">
        <v>3</v>
      </c>
      <c r="B6" s="17" t="inlineStr">
        <is>
          <t>Cooper Burns</t>
        </is>
      </c>
      <c r="C6" s="21" t="inlineStr">
        <is>
          <t>Fill-in only</t>
        </is>
      </c>
      <c r="D6" s="17" t="inlineStr">
        <is>
          <t>Only if you need me to score</t>
        </is>
      </c>
    </row>
    <row r="7" ht="18" customHeight="1">
      <c r="A7" s="5" t="n">
        <v>4</v>
      </c>
      <c r="B7" s="19" t="inlineStr">
        <is>
          <t>Adam Cansdale</t>
        </is>
      </c>
      <c r="C7" s="18" t="inlineStr">
        <is>
          <t>Unlikely to play</t>
        </is>
      </c>
      <c r="D7" s="19" t="inlineStr"/>
    </row>
    <row r="8" ht="18" customHeight="1">
      <c r="A8" s="4" t="n">
        <v>5</v>
      </c>
      <c r="B8" s="17" t="inlineStr">
        <is>
          <t>Max Clarke</t>
        </is>
      </c>
      <c r="C8" s="22" t="inlineStr">
        <is>
          <t>New / Restarting</t>
        </is>
      </c>
      <c r="D8" s="17" t="inlineStr"/>
    </row>
    <row r="9" ht="18" customHeight="1">
      <c r="A9" s="5" t="n">
        <v>6</v>
      </c>
      <c r="B9" s="19" t="inlineStr">
        <is>
          <t>Aman Gulati</t>
        </is>
      </c>
      <c r="C9" s="20" t="inlineStr">
        <is>
          <t>Planning to play</t>
        </is>
      </c>
      <c r="D9" s="19" t="inlineStr"/>
    </row>
    <row r="10" ht="18" customHeight="1">
      <c r="A10" s="4" t="n">
        <v>7</v>
      </c>
      <c r="B10" s="17" t="inlineStr">
        <is>
          <t>Jasobn Markerink</t>
        </is>
      </c>
      <c r="C10" s="21" t="inlineStr">
        <is>
          <t>Fill-in only</t>
        </is>
      </c>
      <c r="D10" s="17" t="inlineStr">
        <is>
          <t>If you are stuck for numbers I can play - I will be away from early may to late July though.</t>
        </is>
      </c>
    </row>
    <row r="11" ht="18" customHeight="1">
      <c r="A11" s="5" t="n">
        <v>8</v>
      </c>
      <c r="B11" s="19" t="inlineStr">
        <is>
          <t>Cam Mills</t>
        </is>
      </c>
      <c r="C11" s="20" t="inlineStr">
        <is>
          <t>Planning to play</t>
        </is>
      </c>
      <c r="D11" s="19" t="inlineStr"/>
    </row>
    <row r="12" ht="18" customHeight="1">
      <c r="A12" s="4" t="n">
        <v>9</v>
      </c>
      <c r="B12" s="17" t="inlineStr">
        <is>
          <t>Matt Osborne</t>
        </is>
      </c>
      <c r="C12" s="20" t="inlineStr">
        <is>
          <t>Planning to play</t>
        </is>
      </c>
      <c r="D12" s="17" t="inlineStr"/>
    </row>
    <row r="13" ht="18" customHeight="1">
      <c r="A13" s="5" t="n">
        <v>10</v>
      </c>
      <c r="B13" s="19" t="inlineStr">
        <is>
          <t>Brent Paul</t>
        </is>
      </c>
      <c r="C13" s="18" t="inlineStr">
        <is>
          <t>Unlikely to play</t>
        </is>
      </c>
      <c r="D13" s="19" t="inlineStr">
        <is>
          <t>Body not in a state to allow me to play this season.</t>
        </is>
      </c>
    </row>
    <row r="14" ht="18" customHeight="1">
      <c r="A14" s="4" t="n">
        <v>11</v>
      </c>
      <c r="B14" s="17" t="inlineStr">
        <is>
          <t>Luke Pywell</t>
        </is>
      </c>
      <c r="C14" s="20" t="inlineStr">
        <is>
          <t>Planning to play</t>
        </is>
      </c>
      <c r="D14" s="17" t="inlineStr">
        <is>
          <t>Hoping to play in a pennant team :)</t>
        </is>
      </c>
    </row>
    <row r="15" ht="18" customHeight="1">
      <c r="A15" s="5" t="n">
        <v>12</v>
      </c>
      <c r="B15" s="19" t="inlineStr">
        <is>
          <t>Andy Ridley</t>
        </is>
      </c>
      <c r="C15" s="20" t="inlineStr">
        <is>
          <t>Planning to play</t>
        </is>
      </c>
      <c r="D15" s="19" t="inlineStr">
        <is>
          <t>Andy moved up and played in the 5s last year. And was happy to fill in/cover metro where he could</t>
        </is>
      </c>
    </row>
    <row r="16" ht="18" customHeight="1">
      <c r="A16" s="4" t="n">
        <v>13</v>
      </c>
      <c r="B16" s="17" t="inlineStr">
        <is>
          <t>Greg Rodgers</t>
        </is>
      </c>
      <c r="C16" s="20" t="inlineStr">
        <is>
          <t>Planning to play</t>
        </is>
      </c>
      <c r="D16" s="17" t="inlineStr">
        <is>
          <t>Ben playing as well. I'm probably good for about half the games. We will register Simon and he may be available for some when he is back from Wagga. Will keep you informed Steve. Brian Rankin great to run it if he will go round again. Thanks. Greg</t>
        </is>
      </c>
    </row>
    <row r="17" ht="18" customHeight="1">
      <c r="A17" s="5" t="n">
        <v>14</v>
      </c>
      <c r="B17" s="19" t="inlineStr">
        <is>
          <t>Jamie Weatherburn</t>
        </is>
      </c>
      <c r="C17" s="20" t="inlineStr">
        <is>
          <t>Planning to play</t>
        </is>
      </c>
      <c r="D17" s="19" t="inlineStr">
        <is>
          <t>Metro men’s 2026 premiers…….</t>
        </is>
      </c>
    </row>
  </sheetData>
  <mergeCells count="1">
    <mergeCell ref="A1:D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5"/>
  <sheetViews>
    <sheetView workbookViewId="0">
      <selection activeCell="A1" sqref="A1"/>
    </sheetView>
  </sheetViews>
  <sheetFormatPr baseColWidth="8" defaultRowHeight="15"/>
  <cols>
    <col width="4" customWidth="1" min="1" max="1"/>
    <col width="24" customWidth="1" min="2" max="2"/>
    <col width="12" customWidth="1" min="3" max="3"/>
    <col width="22" customWidth="1" min="4" max="4"/>
    <col width="44" customWidth="1" min="5" max="5"/>
    <col width="30" customWidth="1" min="6" max="6"/>
  </cols>
  <sheetData>
    <row r="1" ht="28" customHeight="1">
      <c r="A1" s="1" t="inlineStr">
        <is>
          <t>PL — Pennant League  —  2025 Squad &amp; 2026 Registration Status</t>
        </is>
      </c>
    </row>
    <row r="2" ht="16" customHeight="1">
      <c r="A2" s="23" t="inlineStr">
        <is>
          <t xml:space="preserve">   Green = Planning to play     Yellow = Unsure     Purple = Unlikely to play     Grey = Not heard from / Fill-in     Red = Not returning</t>
        </is>
      </c>
    </row>
    <row r="3" ht="20" customHeight="1">
      <c r="A3" s="24" t="inlineStr">
        <is>
          <t>MAIN SQUAD  —  20 players (this is their primary team)</t>
        </is>
      </c>
      <c r="B3" s="25" t="n"/>
      <c r="C3" s="25" t="n"/>
      <c r="D3" s="25" t="n"/>
      <c r="E3" s="25" t="n"/>
      <c r="F3" s="25" t="n"/>
    </row>
    <row r="4" ht="18" customHeight="1">
      <c r="A4" s="2" t="inlineStr">
        <is>
          <t>#</t>
        </is>
      </c>
      <c r="B4" s="2" t="inlineStr">
        <is>
          <t>Player</t>
        </is>
      </c>
      <c r="C4" s="2" t="inlineStr">
        <is>
          <t>2025 Games</t>
        </is>
      </c>
      <c r="D4" s="2" t="inlineStr">
        <is>
          <t>2026 Status</t>
        </is>
      </c>
      <c r="E4" s="2" t="inlineStr">
        <is>
          <t>Notes</t>
        </is>
      </c>
      <c r="F4" s="2" t="inlineStr">
        <is>
          <t>Also played in</t>
        </is>
      </c>
    </row>
    <row r="5" ht="18" customHeight="1">
      <c r="A5" s="4" t="n">
        <v>1</v>
      </c>
      <c r="B5" s="17" t="inlineStr">
        <is>
          <t>Logan Wilford</t>
        </is>
      </c>
      <c r="C5" s="4" t="n">
        <v>19</v>
      </c>
      <c r="D5" s="20" t="inlineStr">
        <is>
          <t>Planning to play</t>
        </is>
      </c>
      <c r="E5" s="17" t="inlineStr"/>
      <c r="F5" s="17" t="inlineStr">
        <is>
          <t>—</t>
        </is>
      </c>
    </row>
    <row r="6" ht="18" customHeight="1">
      <c r="A6" s="5" t="n">
        <v>2</v>
      </c>
      <c r="B6" s="19" t="inlineStr">
        <is>
          <t>Oliver Elliott</t>
        </is>
      </c>
      <c r="C6" s="5" t="n">
        <v>18</v>
      </c>
      <c r="D6" s="20" t="inlineStr">
        <is>
          <t>Planning to play</t>
        </is>
      </c>
      <c r="E6" s="19" t="inlineStr"/>
      <c r="F6" s="19" t="inlineStr">
        <is>
          <t>—</t>
        </is>
      </c>
    </row>
    <row r="7" ht="18" customHeight="1">
      <c r="A7" s="4" t="n">
        <v>3</v>
      </c>
      <c r="B7" s="17" t="inlineStr">
        <is>
          <t>Adam Wylie</t>
        </is>
      </c>
      <c r="C7" s="4" t="n">
        <v>18</v>
      </c>
      <c r="D7" s="20" t="inlineStr">
        <is>
          <t>Planning to play</t>
        </is>
      </c>
      <c r="E7" s="17" t="inlineStr"/>
      <c r="F7" s="17" t="inlineStr">
        <is>
          <t>—</t>
        </is>
      </c>
    </row>
    <row r="8" ht="18" customHeight="1">
      <c r="A8" s="5" t="n">
        <v>4</v>
      </c>
      <c r="B8" s="19" t="inlineStr">
        <is>
          <t>Hamza Fayyaz</t>
        </is>
      </c>
      <c r="C8" s="5" t="n">
        <v>18</v>
      </c>
      <c r="D8" s="20" t="inlineStr">
        <is>
          <t>Planning to play</t>
        </is>
      </c>
      <c r="E8" s="19" t="inlineStr"/>
      <c r="F8" s="19" t="inlineStr">
        <is>
          <t>—</t>
        </is>
      </c>
    </row>
    <row r="9" ht="18" customHeight="1">
      <c r="A9" s="4" t="n">
        <v>5</v>
      </c>
      <c r="B9" s="17" t="inlineStr">
        <is>
          <t>Todd Blasse</t>
        </is>
      </c>
      <c r="C9" s="4" t="n">
        <v>17</v>
      </c>
      <c r="D9" s="20" t="inlineStr">
        <is>
          <t>Planning to play</t>
        </is>
      </c>
      <c r="E9" s="17" t="inlineStr"/>
      <c r="F9" s="17" t="inlineStr">
        <is>
          <t>—</t>
        </is>
      </c>
    </row>
    <row r="10" ht="18" customHeight="1">
      <c r="A10" s="5" t="n">
        <v>6</v>
      </c>
      <c r="B10" s="19" t="inlineStr">
        <is>
          <t>Josh Donohue</t>
        </is>
      </c>
      <c r="C10" s="5" t="n">
        <v>17</v>
      </c>
      <c r="D10" s="26" t="inlineStr">
        <is>
          <t>Unsure</t>
        </is>
      </c>
      <c r="E10" s="19" t="inlineStr"/>
      <c r="F10" s="19" t="inlineStr">
        <is>
          <t>—</t>
        </is>
      </c>
    </row>
    <row r="11" ht="18" customHeight="1">
      <c r="A11" s="4" t="n">
        <v>7</v>
      </c>
      <c r="B11" s="17" t="inlineStr">
        <is>
          <t>Michael Pinson</t>
        </is>
      </c>
      <c r="C11" s="4" t="n">
        <v>17</v>
      </c>
      <c r="D11" s="20" t="inlineStr">
        <is>
          <t>Planning to play</t>
        </is>
      </c>
      <c r="E11" s="17" t="inlineStr"/>
      <c r="F11" s="17" t="inlineStr">
        <is>
          <t>PLR(1)</t>
        </is>
      </c>
    </row>
    <row r="12" ht="18" customHeight="1">
      <c r="A12" s="5" t="n">
        <v>8</v>
      </c>
      <c r="B12" s="19" t="inlineStr">
        <is>
          <t>Louis Nelson</t>
        </is>
      </c>
      <c r="C12" s="5" t="n">
        <v>16</v>
      </c>
      <c r="D12" s="18" t="inlineStr">
        <is>
          <t>Unlikely to play</t>
        </is>
      </c>
      <c r="E12" s="19" t="inlineStr"/>
      <c r="F12" s="19" t="inlineStr">
        <is>
          <t>—</t>
        </is>
      </c>
    </row>
    <row r="13" ht="18" customHeight="1">
      <c r="A13" s="4" t="n">
        <v>9</v>
      </c>
      <c r="B13" s="17" t="inlineStr">
        <is>
          <t>Ben Rogalsky</t>
        </is>
      </c>
      <c r="C13" s="4" t="n">
        <v>16</v>
      </c>
      <c r="D13" s="27" t="inlineStr">
        <is>
          <t>Not returning</t>
        </is>
      </c>
      <c r="E13" s="17" t="inlineStr">
        <is>
          <t>Might make first three rounds possibly</t>
        </is>
      </c>
      <c r="F13" s="17" t="inlineStr">
        <is>
          <t>—</t>
        </is>
      </c>
    </row>
    <row r="14" ht="18" customHeight="1">
      <c r="A14" s="5" t="n">
        <v>10</v>
      </c>
      <c r="B14" s="19" t="inlineStr">
        <is>
          <t>Oscar Holland</t>
        </is>
      </c>
      <c r="C14" s="5" t="n">
        <v>15</v>
      </c>
      <c r="D14" s="20" t="inlineStr">
        <is>
          <t>Planning to play</t>
        </is>
      </c>
      <c r="E14" s="19" t="inlineStr"/>
      <c r="F14" s="19" t="inlineStr">
        <is>
          <t>PLR(1)</t>
        </is>
      </c>
    </row>
    <row r="15" ht="18" customHeight="1">
      <c r="A15" s="4" t="n">
        <v>11</v>
      </c>
      <c r="B15" s="17" t="inlineStr">
        <is>
          <t>Keenan Trinidade</t>
        </is>
      </c>
      <c r="C15" s="4" t="n">
        <v>14</v>
      </c>
      <c r="D15" s="20" t="inlineStr">
        <is>
          <t>Planning to play</t>
        </is>
      </c>
      <c r="E15" s="17" t="inlineStr"/>
      <c r="F15" s="17" t="inlineStr">
        <is>
          <t>PLR(2)</t>
        </is>
      </c>
    </row>
    <row r="16" ht="18" customHeight="1">
      <c r="A16" s="5" t="n">
        <v>12</v>
      </c>
      <c r="B16" s="19" t="inlineStr">
        <is>
          <t>Dylan Swanepoel</t>
        </is>
      </c>
      <c r="C16" s="5" t="n">
        <v>13</v>
      </c>
      <c r="D16" s="27" t="inlineStr">
        <is>
          <t>Not returning</t>
        </is>
      </c>
      <c r="E16" s="19" t="inlineStr"/>
      <c r="F16" s="19" t="inlineStr">
        <is>
          <t>—</t>
        </is>
      </c>
    </row>
    <row r="17" ht="18" customHeight="1">
      <c r="A17" s="4" t="n">
        <v>13</v>
      </c>
      <c r="B17" s="17" t="inlineStr">
        <is>
          <t>Matthew Osborne</t>
        </is>
      </c>
      <c r="C17" s="4" t="n">
        <v>12</v>
      </c>
      <c r="D17" s="20" t="inlineStr">
        <is>
          <t>Planning to play</t>
        </is>
      </c>
      <c r="E17" s="17" t="inlineStr"/>
      <c r="F17" s="17" t="inlineStr">
        <is>
          <t>—</t>
        </is>
      </c>
    </row>
    <row r="18" ht="18" customHeight="1">
      <c r="A18" s="5" t="n">
        <v>14</v>
      </c>
      <c r="B18" s="19" t="inlineStr">
        <is>
          <t>Leroy Rockman</t>
        </is>
      </c>
      <c r="C18" s="5" t="n">
        <v>12</v>
      </c>
      <c r="D18" s="20" t="inlineStr">
        <is>
          <t>Planning to play</t>
        </is>
      </c>
      <c r="E18" s="19" t="inlineStr"/>
      <c r="F18" s="19" t="inlineStr">
        <is>
          <t>PLR(1)</t>
        </is>
      </c>
    </row>
    <row r="19" ht="18" customHeight="1">
      <c r="A19" s="4" t="n">
        <v>15</v>
      </c>
      <c r="B19" s="17" t="inlineStr">
        <is>
          <t>Jonathon Stewart</t>
        </is>
      </c>
      <c r="C19" s="4" t="n">
        <v>12</v>
      </c>
      <c r="D19" s="18" t="inlineStr">
        <is>
          <t>Unlikely to play</t>
        </is>
      </c>
      <c r="E19" s="17" t="inlineStr"/>
      <c r="F19" s="17" t="inlineStr">
        <is>
          <t>PLR(1)</t>
        </is>
      </c>
    </row>
    <row r="20" ht="18" customHeight="1">
      <c r="A20" s="5" t="n">
        <v>16</v>
      </c>
      <c r="B20" s="19" t="inlineStr">
        <is>
          <t>Evan Douglas</t>
        </is>
      </c>
      <c r="C20" s="5" t="n">
        <v>11</v>
      </c>
      <c r="D20" s="20" t="inlineStr">
        <is>
          <t>Planning to play</t>
        </is>
      </c>
      <c r="E20" s="19" t="inlineStr"/>
      <c r="F20" s="19" t="inlineStr">
        <is>
          <t>PLR(1)</t>
        </is>
      </c>
    </row>
    <row r="21" ht="18" customHeight="1">
      <c r="A21" s="4" t="n">
        <v>17</v>
      </c>
      <c r="B21" s="17" t="inlineStr">
        <is>
          <t>Findlay Miller</t>
        </is>
      </c>
      <c r="C21" s="4" t="n">
        <v>9</v>
      </c>
      <c r="D21" s="20" t="inlineStr">
        <is>
          <t>Planning to play</t>
        </is>
      </c>
      <c r="E21" s="17" t="inlineStr"/>
      <c r="F21" s="17" t="inlineStr">
        <is>
          <t>PLR(4)</t>
        </is>
      </c>
    </row>
    <row r="22" ht="18" customHeight="1">
      <c r="A22" s="5" t="n">
        <v>18</v>
      </c>
      <c r="B22" s="19" t="inlineStr">
        <is>
          <t>Liam Alards</t>
        </is>
      </c>
      <c r="C22" s="5" t="n">
        <v>6</v>
      </c>
      <c r="D22" s="18" t="inlineStr">
        <is>
          <t>Unlikely to play</t>
        </is>
      </c>
      <c r="E22" s="19" t="inlineStr"/>
      <c r="F22" s="19" t="inlineStr">
        <is>
          <t>PLR(1)</t>
        </is>
      </c>
    </row>
    <row r="23" ht="18" customHeight="1">
      <c r="A23" s="4" t="n">
        <v>19</v>
      </c>
      <c r="B23" s="17" t="inlineStr">
        <is>
          <t>Waseem Ahmad</t>
        </is>
      </c>
      <c r="C23" s="4" t="n">
        <v>5</v>
      </c>
      <c r="D23" s="21" t="inlineStr">
        <is>
          <t>Not heard from</t>
        </is>
      </c>
      <c r="E23" s="17" t="inlineStr"/>
      <c r="F23" s="17" t="inlineStr">
        <is>
          <t>PLR(2)</t>
        </is>
      </c>
    </row>
    <row r="24" ht="18" customHeight="1">
      <c r="A24" s="5" t="n">
        <v>20</v>
      </c>
      <c r="B24" s="19" t="inlineStr">
        <is>
          <t>Yashdeep Siwach</t>
        </is>
      </c>
      <c r="C24" s="5" t="n">
        <v>2</v>
      </c>
      <c r="D24" s="21" t="inlineStr">
        <is>
          <t>Not heard from</t>
        </is>
      </c>
      <c r="E24" s="19" t="inlineStr"/>
      <c r="F24" s="19" t="inlineStr">
        <is>
          <t>—</t>
        </is>
      </c>
    </row>
    <row r="26" ht="8" customHeight="1"/>
    <row r="27" ht="20" customHeight="1">
      <c r="A27" s="28" t="inlineStr">
        <is>
          <t>FILL-INS  —  16 players (their main team is elsewhere)</t>
        </is>
      </c>
      <c r="B27" s="29" t="n"/>
      <c r="C27" s="29" t="n"/>
      <c r="D27" s="29" t="n"/>
      <c r="E27" s="29" t="n"/>
      <c r="F27" s="29" t="n"/>
    </row>
    <row r="28" ht="18" customHeight="1">
      <c r="A28" s="2" t="inlineStr">
        <is>
          <t>#</t>
        </is>
      </c>
      <c r="B28" s="2" t="inlineStr">
        <is>
          <t>Player</t>
        </is>
      </c>
      <c r="C28" s="2" t="inlineStr">
        <is>
          <t>Games Here</t>
        </is>
      </c>
      <c r="D28" s="2" t="inlineStr">
        <is>
          <t>Status</t>
        </is>
      </c>
      <c r="E28" s="2" t="inlineStr">
        <is>
          <t>Main Team</t>
        </is>
      </c>
      <c r="F28" s="2" t="inlineStr">
        <is>
          <t>Also played in</t>
        </is>
      </c>
    </row>
    <row r="29" ht="18" customHeight="1">
      <c r="A29" s="4" t="n">
        <v>1</v>
      </c>
      <c r="B29" s="17" t="inlineStr">
        <is>
          <t>Michael Briggs</t>
        </is>
      </c>
      <c r="C29" s="4" t="n">
        <v>6</v>
      </c>
      <c r="D29" s="18" t="inlineStr">
        <is>
          <t>Unlikely to play</t>
        </is>
      </c>
      <c r="E29" s="4" t="inlineStr">
        <is>
          <t>PLR — Pennant League Reserves</t>
        </is>
      </c>
      <c r="F29" s="17" t="inlineStr">
        <is>
          <t>PLR(8)</t>
        </is>
      </c>
    </row>
    <row r="30" ht="18" customHeight="1">
      <c r="A30" s="30" t="n">
        <v>2</v>
      </c>
      <c r="B30" s="31" t="inlineStr">
        <is>
          <t>Bailey Slyp</t>
        </is>
      </c>
      <c r="C30" s="30" t="n">
        <v>5</v>
      </c>
      <c r="D30" s="20" t="inlineStr">
        <is>
          <t>Planning to play</t>
        </is>
      </c>
      <c r="E30" s="30" t="inlineStr">
        <is>
          <t>PLR — Pennant League Reserves</t>
        </is>
      </c>
      <c r="F30" s="31" t="inlineStr">
        <is>
          <t>PLR(12)</t>
        </is>
      </c>
    </row>
    <row r="31" ht="18" customHeight="1">
      <c r="A31" s="4" t="n">
        <v>3</v>
      </c>
      <c r="B31" s="17" t="inlineStr">
        <is>
          <t>Lachlan Robinson</t>
        </is>
      </c>
      <c r="C31" s="4" t="n">
        <v>3</v>
      </c>
      <c r="D31" s="20" t="inlineStr">
        <is>
          <t>Planning to play</t>
        </is>
      </c>
      <c r="E31" s="4" t="inlineStr">
        <is>
          <t>PLR — Pennant League Reserves</t>
        </is>
      </c>
      <c r="F31" s="17" t="inlineStr">
        <is>
          <t>PLR(6)</t>
        </is>
      </c>
    </row>
    <row r="32" ht="18" customHeight="1">
      <c r="A32" s="30" t="n">
        <v>4</v>
      </c>
      <c r="B32" s="31" t="inlineStr">
        <is>
          <t>Thomas Robinson</t>
        </is>
      </c>
      <c r="C32" s="30" t="n">
        <v>3</v>
      </c>
      <c r="D32" s="20" t="inlineStr">
        <is>
          <t>Planning to play</t>
        </is>
      </c>
      <c r="E32" s="30" t="inlineStr">
        <is>
          <t>PLR — Pennant League Reserves</t>
        </is>
      </c>
      <c r="F32" s="31" t="inlineStr">
        <is>
          <t>PLR(15)</t>
        </is>
      </c>
    </row>
    <row r="33" ht="18" customHeight="1">
      <c r="A33" s="4" t="n">
        <v>5</v>
      </c>
      <c r="B33" s="17" t="inlineStr">
        <is>
          <t>Cooper Crane</t>
        </is>
      </c>
      <c r="C33" s="4" t="n">
        <v>2</v>
      </c>
      <c r="D33" s="20" t="inlineStr">
        <is>
          <t>Planning to play</t>
        </is>
      </c>
      <c r="E33" s="4" t="inlineStr">
        <is>
          <t>PLR — Pennant League Reserves</t>
        </is>
      </c>
      <c r="F33" s="17" t="inlineStr">
        <is>
          <t>PLR(9), PB(1)</t>
        </is>
      </c>
    </row>
    <row r="34" ht="18" customHeight="1">
      <c r="A34" s="30" t="n">
        <v>6</v>
      </c>
      <c r="B34" s="31" t="inlineStr">
        <is>
          <t>Benjamin Bouwer</t>
        </is>
      </c>
      <c r="C34" s="30" t="n">
        <v>1</v>
      </c>
      <c r="D34" s="20" t="inlineStr">
        <is>
          <t>Planning to play</t>
        </is>
      </c>
      <c r="E34" s="30" t="inlineStr">
        <is>
          <t>PLR — Pennant League Reserves</t>
        </is>
      </c>
      <c r="F34" s="31" t="inlineStr">
        <is>
          <t>PLR(9), PB(3)</t>
        </is>
      </c>
    </row>
    <row r="35" ht="18" customHeight="1">
      <c r="A35" s="4" t="n">
        <v>7</v>
      </c>
      <c r="B35" s="17" t="inlineStr">
        <is>
          <t>Luke Callander</t>
        </is>
      </c>
      <c r="C35" s="4" t="n">
        <v>1</v>
      </c>
      <c r="D35" s="20" t="inlineStr">
        <is>
          <t>Planning to play</t>
        </is>
      </c>
      <c r="E35" s="4" t="inlineStr">
        <is>
          <t>PLR — Pennant League Reserves</t>
        </is>
      </c>
      <c r="F35" s="17" t="inlineStr">
        <is>
          <t>PLR(9), PB(3)</t>
        </is>
      </c>
    </row>
    <row r="36" ht="18" customHeight="1">
      <c r="A36" s="30" t="n">
        <v>8</v>
      </c>
      <c r="B36" s="31" t="inlineStr">
        <is>
          <t>Ayrton Corben</t>
        </is>
      </c>
      <c r="C36" s="30" t="n">
        <v>1</v>
      </c>
      <c r="D36" s="27" t="inlineStr">
        <is>
          <t>Not returning</t>
        </is>
      </c>
      <c r="E36" s="30" t="inlineStr">
        <is>
          <t>PLR — Pennant League Reserves</t>
        </is>
      </c>
      <c r="F36" s="31" t="inlineStr">
        <is>
          <t>PLR(9), PB(3)</t>
        </is>
      </c>
    </row>
    <row r="37" ht="18" customHeight="1">
      <c r="A37" s="4" t="n">
        <v>9</v>
      </c>
      <c r="B37" s="17" t="inlineStr">
        <is>
          <t>Xavier Davis</t>
        </is>
      </c>
      <c r="C37" s="4" t="n">
        <v>1</v>
      </c>
      <c r="D37" s="20" t="inlineStr">
        <is>
          <t>Planning to play</t>
        </is>
      </c>
      <c r="E37" s="4" t="inlineStr">
        <is>
          <t>PLR — Pennant League Reserves</t>
        </is>
      </c>
      <c r="F37" s="17" t="inlineStr">
        <is>
          <t>PLR(15)</t>
        </is>
      </c>
    </row>
    <row r="38" ht="18" customHeight="1">
      <c r="A38" s="30" t="n">
        <v>10</v>
      </c>
      <c r="B38" s="31" t="inlineStr">
        <is>
          <t>Jack Forbes</t>
        </is>
      </c>
      <c r="C38" s="30" t="n">
        <v>1</v>
      </c>
      <c r="D38" s="20" t="inlineStr">
        <is>
          <t>Planning to play</t>
        </is>
      </c>
      <c r="E38" s="30" t="inlineStr">
        <is>
          <t>PLR — Pennant League Reserves</t>
        </is>
      </c>
      <c r="F38" s="31" t="inlineStr">
        <is>
          <t>PLR(14)</t>
        </is>
      </c>
    </row>
    <row r="39" ht="18" customHeight="1">
      <c r="A39" s="4" t="n">
        <v>11</v>
      </c>
      <c r="B39" s="17" t="inlineStr">
        <is>
          <t>Lucas Gray</t>
        </is>
      </c>
      <c r="C39" s="4" t="n">
        <v>1</v>
      </c>
      <c r="D39" s="20" t="inlineStr">
        <is>
          <t>Planning to play</t>
        </is>
      </c>
      <c r="E39" s="4" t="inlineStr">
        <is>
          <t>PLR — Pennant League Reserves</t>
        </is>
      </c>
      <c r="F39" s="17" t="inlineStr">
        <is>
          <t>PLR(8), PB(5)</t>
        </is>
      </c>
    </row>
    <row r="40" ht="18" customHeight="1">
      <c r="A40" s="30" t="n">
        <v>12</v>
      </c>
      <c r="B40" s="31" t="inlineStr">
        <is>
          <t>Makenzie Lane</t>
        </is>
      </c>
      <c r="C40" s="30" t="n">
        <v>1</v>
      </c>
      <c r="D40" s="20" t="inlineStr">
        <is>
          <t>Planning to play</t>
        </is>
      </c>
      <c r="E40" s="30" t="inlineStr">
        <is>
          <t>PB — Pennant B</t>
        </is>
      </c>
      <c r="F40" s="31" t="inlineStr">
        <is>
          <t>PB(8), PLR(6)</t>
        </is>
      </c>
    </row>
    <row r="41" ht="18" customHeight="1">
      <c r="A41" s="4" t="n">
        <v>13</v>
      </c>
      <c r="B41" s="17" t="inlineStr">
        <is>
          <t>Nick Mcphee</t>
        </is>
      </c>
      <c r="C41" s="4" t="n">
        <v>1</v>
      </c>
      <c r="D41" s="20" t="inlineStr">
        <is>
          <t>Planning to play</t>
        </is>
      </c>
      <c r="E41" s="4" t="inlineStr">
        <is>
          <t>PLR — Pennant League Reserves</t>
        </is>
      </c>
      <c r="F41" s="17" t="inlineStr">
        <is>
          <t>PLR(10)</t>
        </is>
      </c>
    </row>
    <row r="42" ht="18" customHeight="1">
      <c r="A42" s="30" t="n">
        <v>14</v>
      </c>
      <c r="B42" s="31" t="inlineStr">
        <is>
          <t>Liam Moss</t>
        </is>
      </c>
      <c r="C42" s="30" t="n">
        <v>1</v>
      </c>
      <c r="D42" s="20" t="inlineStr">
        <is>
          <t>Planning to play</t>
        </is>
      </c>
      <c r="E42" s="30" t="inlineStr">
        <is>
          <t>PLR — Pennant League Reserves</t>
        </is>
      </c>
      <c r="F42" s="31" t="inlineStr">
        <is>
          <t>PLR(13), PB(2)</t>
        </is>
      </c>
    </row>
    <row r="43" ht="18" customHeight="1">
      <c r="A43" s="4" t="n">
        <v>15</v>
      </c>
      <c r="B43" s="17" t="inlineStr">
        <is>
          <t>Stephen O'Brien</t>
        </is>
      </c>
      <c r="C43" s="4" t="n">
        <v>1</v>
      </c>
      <c r="D43" s="20" t="inlineStr">
        <is>
          <t>Planning to play</t>
        </is>
      </c>
      <c r="E43" s="4" t="inlineStr">
        <is>
          <t>PLR — Pennant League Reserves</t>
        </is>
      </c>
      <c r="F43" s="17" t="inlineStr">
        <is>
          <t>PLR(14), PB(1)</t>
        </is>
      </c>
    </row>
    <row r="44" ht="18" customHeight="1">
      <c r="A44" s="30" t="n">
        <v>16</v>
      </c>
      <c r="B44" s="31" t="inlineStr">
        <is>
          <t>Ashton Rankin</t>
        </is>
      </c>
      <c r="C44" s="30" t="n">
        <v>1</v>
      </c>
      <c r="D44" s="20" t="inlineStr">
        <is>
          <t>Planning to play</t>
        </is>
      </c>
      <c r="E44" s="30" t="inlineStr">
        <is>
          <t>PLR — Pennant League Reserves</t>
        </is>
      </c>
      <c r="F44" s="31" t="inlineStr">
        <is>
          <t>PLR(11), PB(3)</t>
        </is>
      </c>
    </row>
    <row r="46" ht="8" customHeight="1"/>
    <row r="47" ht="18" customHeight="1">
      <c r="A47" s="6" t="inlineStr">
        <is>
          <t>SUMMARY</t>
        </is>
      </c>
      <c r="B47" s="32" t="n"/>
      <c r="C47" s="32" t="n"/>
      <c r="D47" s="32" t="n"/>
      <c r="E47" s="32" t="n"/>
      <c r="F47" s="32" t="n"/>
    </row>
    <row r="48" ht="18" customHeight="1">
      <c r="A48" s="33" t="inlineStr">
        <is>
          <t>Main squad size</t>
        </is>
      </c>
      <c r="B48" s="34">
        <f>COUNTA(B5:B24)</f>
        <v/>
      </c>
      <c r="C48" s="35" t="n"/>
      <c r="D48" s="35" t="n"/>
      <c r="E48" s="35" t="n"/>
      <c r="F48" s="35" t="n"/>
    </row>
    <row r="49" ht="18" customHeight="1">
      <c r="A49" s="36" t="inlineStr">
        <is>
          <t>✔  Planning to play</t>
        </is>
      </c>
      <c r="B49" s="37">
        <f>COUNTIF(D5:D24,"Planning to play")</f>
        <v/>
      </c>
      <c r="C49" s="38" t="n"/>
      <c r="D49" s="38" t="n"/>
      <c r="E49" s="38" t="n"/>
      <c r="F49" s="38" t="n"/>
    </row>
    <row r="50" ht="18" customHeight="1">
      <c r="A50" s="39" t="inlineStr">
        <is>
          <t>⚠  Unsure</t>
        </is>
      </c>
      <c r="B50" s="40">
        <f>COUNTIF(D5:D24,"Unsure")</f>
        <v/>
      </c>
      <c r="C50" s="41" t="n"/>
      <c r="D50" s="41" t="n"/>
      <c r="E50" s="41" t="n"/>
      <c r="F50" s="41" t="n"/>
    </row>
    <row r="51" ht="18" customHeight="1">
      <c r="A51" s="42" t="inlineStr">
        <is>
          <t>⚙  Unlikely to play</t>
        </is>
      </c>
      <c r="B51" s="43">
        <f>COUNTIF(D5:D24,"Unlikely to play")</f>
        <v/>
      </c>
      <c r="C51" s="44" t="n"/>
      <c r="D51" s="44" t="n"/>
      <c r="E51" s="44" t="n"/>
      <c r="F51" s="44" t="n"/>
    </row>
    <row r="52" ht="18" customHeight="1">
      <c r="A52" s="45" t="inlineStr">
        <is>
          <t>◻  Not heard from</t>
        </is>
      </c>
      <c r="B52" s="46">
        <f>COUNTIF(D5:D24,"Not heard from")</f>
        <v/>
      </c>
      <c r="C52" s="47" t="n"/>
      <c r="D52" s="47" t="n"/>
      <c r="E52" s="47" t="n"/>
      <c r="F52" s="47" t="n"/>
    </row>
    <row r="53" ht="18" customHeight="1">
      <c r="A53" s="48" t="inlineStr">
        <is>
          <t>✘  Not returning</t>
        </is>
      </c>
      <c r="B53" s="49">
        <f>COUNTIF(D5:D24,"Not returning")</f>
        <v/>
      </c>
      <c r="C53" s="50" t="n"/>
      <c r="D53" s="50" t="n"/>
      <c r="E53" s="50" t="n"/>
      <c r="F53" s="50" t="n"/>
    </row>
    <row r="54" ht="18" customHeight="1">
      <c r="A54" s="45" t="inlineStr">
        <is>
          <t>⚙  Fill-in only</t>
        </is>
      </c>
      <c r="B54" s="46">
        <f>COUNTIF(D5:D24,"Fill-in only")</f>
        <v/>
      </c>
      <c r="C54" s="47" t="n"/>
      <c r="D54" s="47" t="n"/>
      <c r="E54" s="47" t="n"/>
      <c r="F54" s="47" t="n"/>
    </row>
    <row r="55" ht="18" customHeight="1">
      <c r="A55" s="51" t="inlineStr">
        <is>
          <t>Fill-ins on this team</t>
        </is>
      </c>
      <c r="B55" s="52" t="n">
        <v>16</v>
      </c>
      <c r="C55" s="53" t="n"/>
      <c r="D55" s="53" t="n"/>
      <c r="E55" s="53" t="n"/>
      <c r="F55" s="53" t="n"/>
    </row>
  </sheetData>
  <mergeCells count="5">
    <mergeCell ref="A2:F2"/>
    <mergeCell ref="A47:F47"/>
    <mergeCell ref="A1:F1"/>
    <mergeCell ref="A27:F27"/>
    <mergeCell ref="A3:F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5"/>
  <cols>
    <col width="4" customWidth="1" min="1" max="1"/>
    <col width="24" customWidth="1" min="2" max="2"/>
    <col width="12" customWidth="1" min="3" max="3"/>
    <col width="22" customWidth="1" min="4" max="4"/>
    <col width="44" customWidth="1" min="5" max="5"/>
    <col width="30" customWidth="1" min="6" max="6"/>
  </cols>
  <sheetData>
    <row r="1" ht="28" customHeight="1">
      <c r="A1" s="1" t="inlineStr">
        <is>
          <t>PLR — Pennant League Reserves  —  2025 Squad &amp; 2026 Registration Status</t>
        </is>
      </c>
    </row>
    <row r="2" ht="16" customHeight="1">
      <c r="A2" s="23" t="inlineStr">
        <is>
          <t xml:space="preserve">   Green = Planning to play     Yellow = Unsure     Purple = Unlikely to play     Grey = Not heard from / Fill-in     Red = Not returning</t>
        </is>
      </c>
    </row>
    <row r="3" ht="20" customHeight="1">
      <c r="A3" s="24" t="inlineStr">
        <is>
          <t>MAIN SQUAD  —  19 players (this is their primary team)</t>
        </is>
      </c>
      <c r="B3" s="25" t="n"/>
      <c r="C3" s="25" t="n"/>
      <c r="D3" s="25" t="n"/>
      <c r="E3" s="25" t="n"/>
      <c r="F3" s="25" t="n"/>
    </row>
    <row r="4" ht="18" customHeight="1">
      <c r="A4" s="2" t="inlineStr">
        <is>
          <t>#</t>
        </is>
      </c>
      <c r="B4" s="2" t="inlineStr">
        <is>
          <t>Player</t>
        </is>
      </c>
      <c r="C4" s="2" t="inlineStr">
        <is>
          <t>2025 Games</t>
        </is>
      </c>
      <c r="D4" s="2" t="inlineStr">
        <is>
          <t>2026 Status</t>
        </is>
      </c>
      <c r="E4" s="2" t="inlineStr">
        <is>
          <t>Notes</t>
        </is>
      </c>
      <c r="F4" s="2" t="inlineStr">
        <is>
          <t>Also played in</t>
        </is>
      </c>
    </row>
    <row r="5" ht="18" customHeight="1">
      <c r="A5" s="4" t="n">
        <v>1</v>
      </c>
      <c r="B5" s="17" t="inlineStr">
        <is>
          <t>Thomas Robinson</t>
        </is>
      </c>
      <c r="C5" s="4" t="n">
        <v>15</v>
      </c>
      <c r="D5" s="20" t="inlineStr">
        <is>
          <t>Planning to play</t>
        </is>
      </c>
      <c r="E5" s="17" t="inlineStr"/>
      <c r="F5" s="17" t="inlineStr">
        <is>
          <t>PL(3)</t>
        </is>
      </c>
    </row>
    <row r="6" ht="18" customHeight="1">
      <c r="A6" s="5" t="n">
        <v>2</v>
      </c>
      <c r="B6" s="19" t="inlineStr">
        <is>
          <t>Xavier Davis</t>
        </is>
      </c>
      <c r="C6" s="5" t="n">
        <v>15</v>
      </c>
      <c r="D6" s="20" t="inlineStr">
        <is>
          <t>Planning to play</t>
        </is>
      </c>
      <c r="E6" s="19" t="inlineStr"/>
      <c r="F6" s="19" t="inlineStr">
        <is>
          <t>PL(1)</t>
        </is>
      </c>
    </row>
    <row r="7" ht="18" customHeight="1">
      <c r="A7" s="4" t="n">
        <v>3</v>
      </c>
      <c r="B7" s="17" t="inlineStr">
        <is>
          <t>Jack Forbes</t>
        </is>
      </c>
      <c r="C7" s="4" t="n">
        <v>14</v>
      </c>
      <c r="D7" s="20" t="inlineStr">
        <is>
          <t>Planning to play</t>
        </is>
      </c>
      <c r="E7" s="17" t="inlineStr"/>
      <c r="F7" s="17" t="inlineStr">
        <is>
          <t>PL(1)</t>
        </is>
      </c>
    </row>
    <row r="8" ht="18" customHeight="1">
      <c r="A8" s="5" t="n">
        <v>4</v>
      </c>
      <c r="B8" s="19" t="inlineStr">
        <is>
          <t>Stephen O'Brien</t>
        </is>
      </c>
      <c r="C8" s="5" t="n">
        <v>14</v>
      </c>
      <c r="D8" s="20" t="inlineStr">
        <is>
          <t>Planning to play</t>
        </is>
      </c>
      <c r="E8" s="19" t="inlineStr"/>
      <c r="F8" s="19" t="inlineStr">
        <is>
          <t>PL(1), PB(1)</t>
        </is>
      </c>
    </row>
    <row r="9" ht="18" customHeight="1">
      <c r="A9" s="4" t="n">
        <v>5</v>
      </c>
      <c r="B9" s="17" t="inlineStr">
        <is>
          <t>Matthew O'Brien</t>
        </is>
      </c>
      <c r="C9" s="4" t="n">
        <v>14</v>
      </c>
      <c r="D9" s="20" t="inlineStr">
        <is>
          <t>Planning to play</t>
        </is>
      </c>
      <c r="E9" s="17" t="inlineStr"/>
      <c r="F9" s="17" t="inlineStr">
        <is>
          <t>—</t>
        </is>
      </c>
    </row>
    <row r="10" ht="18" customHeight="1">
      <c r="A10" s="5" t="n">
        <v>6</v>
      </c>
      <c r="B10" s="19" t="inlineStr">
        <is>
          <t>Liam Moss</t>
        </is>
      </c>
      <c r="C10" s="5" t="n">
        <v>13</v>
      </c>
      <c r="D10" s="20" t="inlineStr">
        <is>
          <t>Planning to play</t>
        </is>
      </c>
      <c r="E10" s="19" t="inlineStr"/>
      <c r="F10" s="19" t="inlineStr">
        <is>
          <t>PB(2), PL(1)</t>
        </is>
      </c>
    </row>
    <row r="11" ht="18" customHeight="1">
      <c r="A11" s="4" t="n">
        <v>7</v>
      </c>
      <c r="B11" s="17" t="inlineStr">
        <is>
          <t>Bailey Slyp</t>
        </is>
      </c>
      <c r="C11" s="4" t="n">
        <v>12</v>
      </c>
      <c r="D11" s="20" t="inlineStr">
        <is>
          <t>Planning to play</t>
        </is>
      </c>
      <c r="E11" s="17" t="inlineStr"/>
      <c r="F11" s="17" t="inlineStr">
        <is>
          <t>PL(5)</t>
        </is>
      </c>
    </row>
    <row r="12" ht="18" customHeight="1">
      <c r="A12" s="5" t="n">
        <v>8</v>
      </c>
      <c r="B12" s="19" t="inlineStr">
        <is>
          <t>Scott Richardson</t>
        </is>
      </c>
      <c r="C12" s="5" t="n">
        <v>12</v>
      </c>
      <c r="D12" s="20" t="inlineStr">
        <is>
          <t>Planning to play</t>
        </is>
      </c>
      <c r="E12" s="19" t="inlineStr"/>
      <c r="F12" s="19" t="inlineStr">
        <is>
          <t>—</t>
        </is>
      </c>
    </row>
    <row r="13" ht="18" customHeight="1">
      <c r="A13" s="4" t="n">
        <v>9</v>
      </c>
      <c r="B13" s="17" t="inlineStr">
        <is>
          <t>Ashton Rankin</t>
        </is>
      </c>
      <c r="C13" s="4" t="n">
        <v>11</v>
      </c>
      <c r="D13" s="20" t="inlineStr">
        <is>
          <t>Planning to play</t>
        </is>
      </c>
      <c r="E13" s="17" t="inlineStr"/>
      <c r="F13" s="17" t="inlineStr">
        <is>
          <t>PB(3), PL(1)</t>
        </is>
      </c>
    </row>
    <row r="14" ht="18" customHeight="1">
      <c r="A14" s="5" t="n">
        <v>10</v>
      </c>
      <c r="B14" s="19" t="inlineStr">
        <is>
          <t>Steve Quenette</t>
        </is>
      </c>
      <c r="C14" s="5" t="n">
        <v>11</v>
      </c>
      <c r="D14" s="20" t="inlineStr">
        <is>
          <t>Planning to play</t>
        </is>
      </c>
      <c r="E14" s="19" t="inlineStr"/>
      <c r="F14" s="19" t="inlineStr">
        <is>
          <t>—</t>
        </is>
      </c>
    </row>
    <row r="15" ht="18" customHeight="1">
      <c r="A15" s="4" t="n">
        <v>11</v>
      </c>
      <c r="B15" s="17" t="inlineStr">
        <is>
          <t>Nick Mcphee</t>
        </is>
      </c>
      <c r="C15" s="4" t="n">
        <v>10</v>
      </c>
      <c r="D15" s="20" t="inlineStr">
        <is>
          <t>Planning to play</t>
        </is>
      </c>
      <c r="E15" s="17" t="inlineStr"/>
      <c r="F15" s="17" t="inlineStr">
        <is>
          <t>PL(1)</t>
        </is>
      </c>
    </row>
    <row r="16" ht="18" customHeight="1">
      <c r="A16" s="5" t="n">
        <v>12</v>
      </c>
      <c r="B16" s="19" t="inlineStr">
        <is>
          <t>Cooper Crane</t>
        </is>
      </c>
      <c r="C16" s="5" t="n">
        <v>9</v>
      </c>
      <c r="D16" s="20" t="inlineStr">
        <is>
          <t>Planning to play</t>
        </is>
      </c>
      <c r="E16" s="19" t="inlineStr"/>
      <c r="F16" s="19" t="inlineStr">
        <is>
          <t>PL(2), PB(1)</t>
        </is>
      </c>
    </row>
    <row r="17" ht="18" customHeight="1">
      <c r="A17" s="4" t="n">
        <v>13</v>
      </c>
      <c r="B17" s="17" t="inlineStr">
        <is>
          <t>Benjamin Bouwer</t>
        </is>
      </c>
      <c r="C17" s="4" t="n">
        <v>9</v>
      </c>
      <c r="D17" s="20" t="inlineStr">
        <is>
          <t>Planning to play</t>
        </is>
      </c>
      <c r="E17" s="17" t="inlineStr"/>
      <c r="F17" s="17" t="inlineStr">
        <is>
          <t>PB(3), PL(1)</t>
        </is>
      </c>
    </row>
    <row r="18" ht="18" customHeight="1">
      <c r="A18" s="5" t="n">
        <v>14</v>
      </c>
      <c r="B18" s="19" t="inlineStr">
        <is>
          <t>Luke Callander</t>
        </is>
      </c>
      <c r="C18" s="5" t="n">
        <v>9</v>
      </c>
      <c r="D18" s="20" t="inlineStr">
        <is>
          <t>Planning to play</t>
        </is>
      </c>
      <c r="E18" s="19" t="inlineStr"/>
      <c r="F18" s="19" t="inlineStr">
        <is>
          <t>PB(3), PL(1)</t>
        </is>
      </c>
    </row>
    <row r="19" ht="18" customHeight="1">
      <c r="A19" s="4" t="n">
        <v>15</v>
      </c>
      <c r="B19" s="17" t="inlineStr">
        <is>
          <t>Ayrton Corben</t>
        </is>
      </c>
      <c r="C19" s="4" t="n">
        <v>9</v>
      </c>
      <c r="D19" s="27" t="inlineStr">
        <is>
          <t>Not returning</t>
        </is>
      </c>
      <c r="E19" s="17" t="inlineStr"/>
      <c r="F19" s="17" t="inlineStr">
        <is>
          <t>PB(3), PL(1)</t>
        </is>
      </c>
    </row>
    <row r="20" ht="18" customHeight="1">
      <c r="A20" s="5" t="n">
        <v>16</v>
      </c>
      <c r="B20" s="19" t="inlineStr">
        <is>
          <t>Michael Briggs</t>
        </is>
      </c>
      <c r="C20" s="5" t="n">
        <v>8</v>
      </c>
      <c r="D20" s="18" t="inlineStr">
        <is>
          <t>Unlikely to play</t>
        </is>
      </c>
      <c r="E20" s="19" t="inlineStr">
        <is>
          <t>May come back May/June</t>
        </is>
      </c>
      <c r="F20" s="19" t="inlineStr">
        <is>
          <t>PL(6)</t>
        </is>
      </c>
    </row>
    <row r="21" ht="18" customHeight="1">
      <c r="A21" s="4" t="n">
        <v>17</v>
      </c>
      <c r="B21" s="17" t="inlineStr">
        <is>
          <t>Lucas Gray</t>
        </is>
      </c>
      <c r="C21" s="4" t="n">
        <v>8</v>
      </c>
      <c r="D21" s="20" t="inlineStr">
        <is>
          <t>Planning to play</t>
        </is>
      </c>
      <c r="E21" s="17" t="inlineStr"/>
      <c r="F21" s="17" t="inlineStr">
        <is>
          <t>PB(5), PL(1)</t>
        </is>
      </c>
    </row>
    <row r="22" ht="18" customHeight="1">
      <c r="A22" s="5" t="n">
        <v>18</v>
      </c>
      <c r="B22" s="19" t="inlineStr">
        <is>
          <t>Hayden Clark</t>
        </is>
      </c>
      <c r="C22" s="5" t="n">
        <v>8</v>
      </c>
      <c r="D22" s="20" t="inlineStr">
        <is>
          <t>Planning to play</t>
        </is>
      </c>
      <c r="E22" s="19" t="inlineStr"/>
      <c r="F22" s="19" t="inlineStr">
        <is>
          <t>—</t>
        </is>
      </c>
    </row>
    <row r="23" ht="18" customHeight="1">
      <c r="A23" s="4" t="n">
        <v>19</v>
      </c>
      <c r="B23" s="17" t="inlineStr">
        <is>
          <t>Lachlan Robinson</t>
        </is>
      </c>
      <c r="C23" s="4" t="n">
        <v>6</v>
      </c>
      <c r="D23" s="20" t="inlineStr">
        <is>
          <t>Planning to play</t>
        </is>
      </c>
      <c r="E23" s="17" t="inlineStr"/>
      <c r="F23" s="17" t="inlineStr">
        <is>
          <t>PL(3)</t>
        </is>
      </c>
    </row>
    <row r="25" ht="8" customHeight="1"/>
    <row r="26" ht="20" customHeight="1">
      <c r="A26" s="28" t="inlineStr">
        <is>
          <t>FILL-INS  —  13 players (their main team is elsewhere)</t>
        </is>
      </c>
      <c r="B26" s="29" t="n"/>
      <c r="C26" s="29" t="n"/>
      <c r="D26" s="29" t="n"/>
      <c r="E26" s="29" t="n"/>
      <c r="F26" s="29" t="n"/>
    </row>
    <row r="27" ht="18" customHeight="1">
      <c r="A27" s="2" t="inlineStr">
        <is>
          <t>#</t>
        </is>
      </c>
      <c r="B27" s="2" t="inlineStr">
        <is>
          <t>Player</t>
        </is>
      </c>
      <c r="C27" s="2" t="inlineStr">
        <is>
          <t>Games Here</t>
        </is>
      </c>
      <c r="D27" s="2" t="inlineStr">
        <is>
          <t>Status</t>
        </is>
      </c>
      <c r="E27" s="2" t="inlineStr">
        <is>
          <t>Main Team</t>
        </is>
      </c>
      <c r="F27" s="2" t="inlineStr">
        <is>
          <t>Also played in</t>
        </is>
      </c>
    </row>
    <row r="28" ht="18" customHeight="1">
      <c r="A28" s="4" t="n">
        <v>1</v>
      </c>
      <c r="B28" s="17" t="inlineStr">
        <is>
          <t>Makenzie Lane</t>
        </is>
      </c>
      <c r="C28" s="4" t="n">
        <v>6</v>
      </c>
      <c r="D28" s="20" t="inlineStr">
        <is>
          <t>Planning to play</t>
        </is>
      </c>
      <c r="E28" s="4" t="inlineStr">
        <is>
          <t>PB — Pennant B</t>
        </is>
      </c>
      <c r="F28" s="17" t="inlineStr">
        <is>
          <t>PB(8), PL(1)</t>
        </is>
      </c>
    </row>
    <row r="29" ht="18" customHeight="1">
      <c r="A29" s="30" t="n">
        <v>2</v>
      </c>
      <c r="B29" s="31" t="inlineStr">
        <is>
          <t>Findlay Miller</t>
        </is>
      </c>
      <c r="C29" s="30" t="n">
        <v>4</v>
      </c>
      <c r="D29" s="20" t="inlineStr">
        <is>
          <t>Planning to play</t>
        </is>
      </c>
      <c r="E29" s="30" t="inlineStr">
        <is>
          <t>PL — Pennant League</t>
        </is>
      </c>
      <c r="F29" s="31" t="inlineStr">
        <is>
          <t>PL(9)</t>
        </is>
      </c>
    </row>
    <row r="30" ht="18" customHeight="1">
      <c r="A30" s="4" t="n">
        <v>3</v>
      </c>
      <c r="B30" s="17" t="inlineStr">
        <is>
          <t>Keenan Trinidade</t>
        </is>
      </c>
      <c r="C30" s="4" t="n">
        <v>2</v>
      </c>
      <c r="D30" s="20" t="inlineStr">
        <is>
          <t>Planning to play</t>
        </is>
      </c>
      <c r="E30" s="4" t="inlineStr">
        <is>
          <t>PL — Pennant League</t>
        </is>
      </c>
      <c r="F30" s="17" t="inlineStr">
        <is>
          <t>PL(14)</t>
        </is>
      </c>
    </row>
    <row r="31" ht="18" customHeight="1">
      <c r="A31" s="30" t="n">
        <v>4</v>
      </c>
      <c r="B31" s="31" t="inlineStr">
        <is>
          <t>Waseem Ahmad</t>
        </is>
      </c>
      <c r="C31" s="30" t="n">
        <v>2</v>
      </c>
      <c r="D31" s="21" t="inlineStr">
        <is>
          <t>Not heard from</t>
        </is>
      </c>
      <c r="E31" s="30" t="inlineStr">
        <is>
          <t>PL — Pennant League</t>
        </is>
      </c>
      <c r="F31" s="31" t="inlineStr">
        <is>
          <t>PL(5)</t>
        </is>
      </c>
    </row>
    <row r="32" ht="18" customHeight="1">
      <c r="A32" s="4" t="n">
        <v>5</v>
      </c>
      <c r="B32" s="17" t="inlineStr">
        <is>
          <t>Michael Pinson</t>
        </is>
      </c>
      <c r="C32" s="4" t="n">
        <v>1</v>
      </c>
      <c r="D32" s="20" t="inlineStr">
        <is>
          <t>Planning to play</t>
        </is>
      </c>
      <c r="E32" s="4" t="inlineStr">
        <is>
          <t>PL — Pennant League</t>
        </is>
      </c>
      <c r="F32" s="17" t="inlineStr">
        <is>
          <t>PL(17)</t>
        </is>
      </c>
    </row>
    <row r="33" ht="18" customHeight="1">
      <c r="A33" s="30" t="n">
        <v>6</v>
      </c>
      <c r="B33" s="31" t="inlineStr">
        <is>
          <t>Oscar Holland</t>
        </is>
      </c>
      <c r="C33" s="30" t="n">
        <v>1</v>
      </c>
      <c r="D33" s="20" t="inlineStr">
        <is>
          <t>Planning to play</t>
        </is>
      </c>
      <c r="E33" s="30" t="inlineStr">
        <is>
          <t>PL — Pennant League</t>
        </is>
      </c>
      <c r="F33" s="31" t="inlineStr">
        <is>
          <t>PL(15)</t>
        </is>
      </c>
    </row>
    <row r="34" ht="18" customHeight="1">
      <c r="A34" s="4" t="n">
        <v>7</v>
      </c>
      <c r="B34" s="17" t="inlineStr">
        <is>
          <t>Leroy Rockman</t>
        </is>
      </c>
      <c r="C34" s="4" t="n">
        <v>1</v>
      </c>
      <c r="D34" s="20" t="inlineStr">
        <is>
          <t>Planning to play</t>
        </is>
      </c>
      <c r="E34" s="4" t="inlineStr">
        <is>
          <t>PL — Pennant League</t>
        </is>
      </c>
      <c r="F34" s="17" t="inlineStr">
        <is>
          <t>PL(12)</t>
        </is>
      </c>
    </row>
    <row r="35" ht="18" customHeight="1">
      <c r="A35" s="30" t="n">
        <v>8</v>
      </c>
      <c r="B35" s="31" t="inlineStr">
        <is>
          <t>Jonathon Stewart</t>
        </is>
      </c>
      <c r="C35" s="30" t="n">
        <v>1</v>
      </c>
      <c r="D35" s="18" t="inlineStr">
        <is>
          <t>Unlikely to play</t>
        </is>
      </c>
      <c r="E35" s="30" t="inlineStr">
        <is>
          <t>PL — Pennant League</t>
        </is>
      </c>
      <c r="F35" s="31" t="inlineStr">
        <is>
          <t>PL(12)</t>
        </is>
      </c>
    </row>
    <row r="36" ht="18" customHeight="1">
      <c r="A36" s="4" t="n">
        <v>9</v>
      </c>
      <c r="B36" s="17" t="inlineStr">
        <is>
          <t>Evan Douglas</t>
        </is>
      </c>
      <c r="C36" s="4" t="n">
        <v>1</v>
      </c>
      <c r="D36" s="20" t="inlineStr">
        <is>
          <t>Planning to play</t>
        </is>
      </c>
      <c r="E36" s="4" t="inlineStr">
        <is>
          <t>PL — Pennant League</t>
        </is>
      </c>
      <c r="F36" s="17" t="inlineStr">
        <is>
          <t>PL(11)</t>
        </is>
      </c>
    </row>
    <row r="37" ht="18" customHeight="1">
      <c r="A37" s="30" t="n">
        <v>10</v>
      </c>
      <c r="B37" s="31" t="inlineStr">
        <is>
          <t>Liam Alards</t>
        </is>
      </c>
      <c r="C37" s="30" t="n">
        <v>1</v>
      </c>
      <c r="D37" s="18" t="inlineStr">
        <is>
          <t>Unlikely to play</t>
        </is>
      </c>
      <c r="E37" s="30" t="inlineStr">
        <is>
          <t>PL — Pennant League</t>
        </is>
      </c>
      <c r="F37" s="31" t="inlineStr">
        <is>
          <t>PL(6)</t>
        </is>
      </c>
    </row>
    <row r="38" ht="18" customHeight="1">
      <c r="A38" s="4" t="n">
        <v>11</v>
      </c>
      <c r="B38" s="17" t="inlineStr">
        <is>
          <t>Bailey Clayton</t>
        </is>
      </c>
      <c r="C38" s="4" t="n">
        <v>1</v>
      </c>
      <c r="D38" s="20" t="inlineStr">
        <is>
          <t>Planning to play</t>
        </is>
      </c>
      <c r="E38" s="4" t="inlineStr">
        <is>
          <t>PB — Pennant B</t>
        </is>
      </c>
      <c r="F38" s="17" t="inlineStr">
        <is>
          <t>PB(13), PC(3)</t>
        </is>
      </c>
    </row>
    <row r="39" ht="18" customHeight="1">
      <c r="A39" s="30" t="n">
        <v>12</v>
      </c>
      <c r="B39" s="31" t="inlineStr">
        <is>
          <t>Thomas Lapa</t>
        </is>
      </c>
      <c r="C39" s="30" t="n">
        <v>1</v>
      </c>
      <c r="D39" s="21" t="inlineStr">
        <is>
          <t>Not heard from</t>
        </is>
      </c>
      <c r="E39" s="30" t="inlineStr">
        <is>
          <t>PC — Pennant C</t>
        </is>
      </c>
      <c r="F39" s="31" t="inlineStr">
        <is>
          <t>PC(9), PB(5)</t>
        </is>
      </c>
    </row>
    <row r="40" ht="18" customHeight="1">
      <c r="A40" s="4" t="n">
        <v>13</v>
      </c>
      <c r="B40" s="17" t="inlineStr">
        <is>
          <t>Noah Webster</t>
        </is>
      </c>
      <c r="C40" s="4" t="n">
        <v>1</v>
      </c>
      <c r="D40" s="27" t="inlineStr">
        <is>
          <t>Not returning</t>
        </is>
      </c>
      <c r="E40" s="4" t="inlineStr">
        <is>
          <t>PB — Pennant B</t>
        </is>
      </c>
      <c r="F40" s="17" t="inlineStr">
        <is>
          <t>PB(7)</t>
        </is>
      </c>
    </row>
    <row r="42" ht="8" customHeight="1"/>
    <row r="43" ht="18" customHeight="1">
      <c r="A43" s="6" t="inlineStr">
        <is>
          <t>SUMMARY</t>
        </is>
      </c>
      <c r="B43" s="32" t="n"/>
      <c r="C43" s="32" t="n"/>
      <c r="D43" s="32" t="n"/>
      <c r="E43" s="32" t="n"/>
      <c r="F43" s="32" t="n"/>
    </row>
    <row r="44" ht="18" customHeight="1">
      <c r="A44" s="33" t="inlineStr">
        <is>
          <t>Main squad size</t>
        </is>
      </c>
      <c r="B44" s="34">
        <f>COUNTA(B5:B23)</f>
        <v/>
      </c>
      <c r="C44" s="35" t="n"/>
      <c r="D44" s="35" t="n"/>
      <c r="E44" s="35" t="n"/>
      <c r="F44" s="35" t="n"/>
    </row>
    <row r="45" ht="18" customHeight="1">
      <c r="A45" s="36" t="inlineStr">
        <is>
          <t>✔  Planning to play</t>
        </is>
      </c>
      <c r="B45" s="37">
        <f>COUNTIF(D5:D23,"Planning to play")</f>
        <v/>
      </c>
      <c r="C45" s="38" t="n"/>
      <c r="D45" s="38" t="n"/>
      <c r="E45" s="38" t="n"/>
      <c r="F45" s="38" t="n"/>
    </row>
    <row r="46" ht="18" customHeight="1">
      <c r="A46" s="39" t="inlineStr">
        <is>
          <t>⚠  Unsure</t>
        </is>
      </c>
      <c r="B46" s="40">
        <f>COUNTIF(D5:D23,"Unsure")</f>
        <v/>
      </c>
      <c r="C46" s="41" t="n"/>
      <c r="D46" s="41" t="n"/>
      <c r="E46" s="41" t="n"/>
      <c r="F46" s="41" t="n"/>
    </row>
    <row r="47" ht="18" customHeight="1">
      <c r="A47" s="42" t="inlineStr">
        <is>
          <t>⚙  Unlikely to play</t>
        </is>
      </c>
      <c r="B47" s="43">
        <f>COUNTIF(D5:D23,"Unlikely to play")</f>
        <v/>
      </c>
      <c r="C47" s="44" t="n"/>
      <c r="D47" s="44" t="n"/>
      <c r="E47" s="44" t="n"/>
      <c r="F47" s="44" t="n"/>
    </row>
    <row r="48" ht="18" customHeight="1">
      <c r="A48" s="45" t="inlineStr">
        <is>
          <t>◻  Not heard from</t>
        </is>
      </c>
      <c r="B48" s="46">
        <f>COUNTIF(D5:D23,"Not heard from")</f>
        <v/>
      </c>
      <c r="C48" s="47" t="n"/>
      <c r="D48" s="47" t="n"/>
      <c r="E48" s="47" t="n"/>
      <c r="F48" s="47" t="n"/>
    </row>
    <row r="49" ht="18" customHeight="1">
      <c r="A49" s="48" t="inlineStr">
        <is>
          <t>✘  Not returning</t>
        </is>
      </c>
      <c r="B49" s="49">
        <f>COUNTIF(D5:D23,"Not returning")</f>
        <v/>
      </c>
      <c r="C49" s="50" t="n"/>
      <c r="D49" s="50" t="n"/>
      <c r="E49" s="50" t="n"/>
      <c r="F49" s="50" t="n"/>
    </row>
    <row r="50" ht="18" customHeight="1">
      <c r="A50" s="45" t="inlineStr">
        <is>
          <t>⚙  Fill-in only</t>
        </is>
      </c>
      <c r="B50" s="46">
        <f>COUNTIF(D5:D23,"Fill-in only")</f>
        <v/>
      </c>
      <c r="C50" s="47" t="n"/>
      <c r="D50" s="47" t="n"/>
      <c r="E50" s="47" t="n"/>
      <c r="F50" s="47" t="n"/>
    </row>
    <row r="51" ht="18" customHeight="1">
      <c r="A51" s="51" t="inlineStr">
        <is>
          <t>Fill-ins on this team</t>
        </is>
      </c>
      <c r="B51" s="52" t="n">
        <v>13</v>
      </c>
      <c r="C51" s="53" t="n"/>
      <c r="D51" s="53" t="n"/>
      <c r="E51" s="53" t="n"/>
      <c r="F51" s="53" t="n"/>
    </row>
  </sheetData>
  <mergeCells count="5">
    <mergeCell ref="A2:F2"/>
    <mergeCell ref="A1:F1"/>
    <mergeCell ref="A26:F26"/>
    <mergeCell ref="A3:F3"/>
    <mergeCell ref="A43:F4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49"/>
  <sheetViews>
    <sheetView workbookViewId="0">
      <selection activeCell="A1" sqref="A1"/>
    </sheetView>
  </sheetViews>
  <sheetFormatPr baseColWidth="8" defaultRowHeight="15"/>
  <cols>
    <col width="4" customWidth="1" min="1" max="1"/>
    <col width="24" customWidth="1" min="2" max="2"/>
    <col width="12" customWidth="1" min="3" max="3"/>
    <col width="22" customWidth="1" min="4" max="4"/>
    <col width="44" customWidth="1" min="5" max="5"/>
    <col width="30" customWidth="1" min="6" max="6"/>
  </cols>
  <sheetData>
    <row r="1" ht="28" customHeight="1">
      <c r="A1" s="1" t="inlineStr">
        <is>
          <t>PB — Pennant B  —  2025 Squad &amp; 2026 Registration Status</t>
        </is>
      </c>
    </row>
    <row r="2" ht="16" customHeight="1">
      <c r="A2" s="23" t="inlineStr">
        <is>
          <t xml:space="preserve">   Green = Planning to play     Yellow = Unsure     Purple = Unlikely to play     Grey = Not heard from / Fill-in     Red = Not returning</t>
        </is>
      </c>
    </row>
    <row r="3" ht="20" customHeight="1">
      <c r="A3" s="24" t="inlineStr">
        <is>
          <t>MAIN SQUAD  —  18 players (this is their primary team)</t>
        </is>
      </c>
      <c r="B3" s="25" t="n"/>
      <c r="C3" s="25" t="n"/>
      <c r="D3" s="25" t="n"/>
      <c r="E3" s="25" t="n"/>
      <c r="F3" s="25" t="n"/>
    </row>
    <row r="4" ht="18" customHeight="1">
      <c r="A4" s="2" t="inlineStr">
        <is>
          <t>#</t>
        </is>
      </c>
      <c r="B4" s="2" t="inlineStr">
        <is>
          <t>Player</t>
        </is>
      </c>
      <c r="C4" s="2" t="inlineStr">
        <is>
          <t>2025 Games</t>
        </is>
      </c>
      <c r="D4" s="2" t="inlineStr">
        <is>
          <t>2026 Status</t>
        </is>
      </c>
      <c r="E4" s="2" t="inlineStr">
        <is>
          <t>Notes</t>
        </is>
      </c>
      <c r="F4" s="2" t="inlineStr">
        <is>
          <t>Also played in</t>
        </is>
      </c>
    </row>
    <row r="5" ht="18" customHeight="1">
      <c r="A5" s="4" t="n">
        <v>1</v>
      </c>
      <c r="B5" s="17" t="inlineStr">
        <is>
          <t>Tony Yam</t>
        </is>
      </c>
      <c r="C5" s="4" t="n">
        <v>15</v>
      </c>
      <c r="D5" s="20" t="inlineStr">
        <is>
          <t>Planning to play</t>
        </is>
      </c>
      <c r="E5" s="17" t="inlineStr"/>
      <c r="F5" s="17" t="inlineStr">
        <is>
          <t>PC(2)</t>
        </is>
      </c>
    </row>
    <row r="6" ht="18" customHeight="1">
      <c r="A6" s="5" t="n">
        <v>2</v>
      </c>
      <c r="B6" s="19" t="inlineStr">
        <is>
          <t>Cooper Bayliss</t>
        </is>
      </c>
      <c r="C6" s="5" t="n">
        <v>14</v>
      </c>
      <c r="D6" s="20" t="inlineStr">
        <is>
          <t>Planning to play</t>
        </is>
      </c>
      <c r="E6" s="19" t="inlineStr"/>
      <c r="F6" s="19" t="inlineStr">
        <is>
          <t>PC(2)</t>
        </is>
      </c>
    </row>
    <row r="7" ht="18" customHeight="1">
      <c r="A7" s="4" t="n">
        <v>3</v>
      </c>
      <c r="B7" s="17" t="inlineStr">
        <is>
          <t>Alexander Stock</t>
        </is>
      </c>
      <c r="C7" s="4" t="n">
        <v>14</v>
      </c>
      <c r="D7" s="21" t="inlineStr">
        <is>
          <t>Not heard from</t>
        </is>
      </c>
      <c r="E7" s="17" t="inlineStr"/>
      <c r="F7" s="17" t="inlineStr">
        <is>
          <t>PC(1)</t>
        </is>
      </c>
    </row>
    <row r="8" ht="18" customHeight="1">
      <c r="A8" s="5" t="n">
        <v>4</v>
      </c>
      <c r="B8" s="19" t="inlineStr">
        <is>
          <t>Lachie White</t>
        </is>
      </c>
      <c r="C8" s="5" t="n">
        <v>14</v>
      </c>
      <c r="D8" s="21" t="inlineStr">
        <is>
          <t>Not heard from</t>
        </is>
      </c>
      <c r="E8" s="19" t="inlineStr"/>
      <c r="F8" s="19" t="inlineStr">
        <is>
          <t>PC(1)</t>
        </is>
      </c>
    </row>
    <row r="9" ht="18" customHeight="1">
      <c r="A9" s="4" t="n">
        <v>5</v>
      </c>
      <c r="B9" s="17" t="inlineStr">
        <is>
          <t>Bailey Clayton</t>
        </is>
      </c>
      <c r="C9" s="4" t="n">
        <v>13</v>
      </c>
      <c r="D9" s="20" t="inlineStr">
        <is>
          <t>Planning to play</t>
        </is>
      </c>
      <c r="E9" s="17" t="inlineStr"/>
      <c r="F9" s="17" t="inlineStr">
        <is>
          <t>PC(3), PLR(1)</t>
        </is>
      </c>
    </row>
    <row r="10" ht="18" customHeight="1">
      <c r="A10" s="5" t="n">
        <v>6</v>
      </c>
      <c r="B10" s="19" t="inlineStr">
        <is>
          <t>Tak Chau</t>
        </is>
      </c>
      <c r="C10" s="5" t="n">
        <v>13</v>
      </c>
      <c r="D10" s="20" t="inlineStr">
        <is>
          <t>Planning to play</t>
        </is>
      </c>
      <c r="E10" s="19" t="inlineStr"/>
      <c r="F10" s="19" t="inlineStr">
        <is>
          <t>PC(2)</t>
        </is>
      </c>
    </row>
    <row r="11" ht="18" customHeight="1">
      <c r="A11" s="4" t="n">
        <v>7</v>
      </c>
      <c r="B11" s="17" t="inlineStr">
        <is>
          <t>Hong Chau</t>
        </is>
      </c>
      <c r="C11" s="4" t="n">
        <v>12</v>
      </c>
      <c r="D11" s="20" t="inlineStr">
        <is>
          <t>Planning to play</t>
        </is>
      </c>
      <c r="E11" s="17" t="inlineStr"/>
      <c r="F11" s="17" t="inlineStr">
        <is>
          <t>PC(2)</t>
        </is>
      </c>
    </row>
    <row r="12" ht="18" customHeight="1">
      <c r="A12" s="5" t="n">
        <v>8</v>
      </c>
      <c r="B12" s="19" t="inlineStr">
        <is>
          <t>Hayden Mitchell</t>
        </is>
      </c>
      <c r="C12" s="5" t="n">
        <v>12</v>
      </c>
      <c r="D12" s="20" t="inlineStr">
        <is>
          <t>Planning to play</t>
        </is>
      </c>
      <c r="E12" s="19" t="inlineStr"/>
      <c r="F12" s="19" t="inlineStr">
        <is>
          <t>—</t>
        </is>
      </c>
    </row>
    <row r="13" ht="18" customHeight="1">
      <c r="A13" s="4" t="n">
        <v>9</v>
      </c>
      <c r="B13" s="17" t="inlineStr">
        <is>
          <t>Steve Waters</t>
        </is>
      </c>
      <c r="C13" s="4" t="n">
        <v>12</v>
      </c>
      <c r="D13" s="20" t="inlineStr">
        <is>
          <t>Planning to play</t>
        </is>
      </c>
      <c r="E13" s="17" t="inlineStr"/>
      <c r="F13" s="17" t="inlineStr">
        <is>
          <t>PC(1)</t>
        </is>
      </c>
    </row>
    <row r="14" ht="18" customHeight="1">
      <c r="A14" s="5" t="n">
        <v>10</v>
      </c>
      <c r="B14" s="19" t="inlineStr">
        <is>
          <t>Brady Cake</t>
        </is>
      </c>
      <c r="C14" s="5" t="n">
        <v>11</v>
      </c>
      <c r="D14" s="20" t="inlineStr">
        <is>
          <t>Planning to play</t>
        </is>
      </c>
      <c r="E14" s="19" t="inlineStr"/>
      <c r="F14" s="19" t="inlineStr">
        <is>
          <t>PC(3)</t>
        </is>
      </c>
    </row>
    <row r="15" ht="18" customHeight="1">
      <c r="A15" s="4" t="n">
        <v>11</v>
      </c>
      <c r="B15" s="17" t="inlineStr">
        <is>
          <t>Kaden Lukes</t>
        </is>
      </c>
      <c r="C15" s="4" t="n">
        <v>11</v>
      </c>
      <c r="D15" s="20" t="inlineStr">
        <is>
          <t>Planning to play</t>
        </is>
      </c>
      <c r="E15" s="17" t="inlineStr"/>
      <c r="F15" s="17" t="inlineStr">
        <is>
          <t>PC(4)</t>
        </is>
      </c>
    </row>
    <row r="16" ht="18" customHeight="1">
      <c r="A16" s="5" t="n">
        <v>12</v>
      </c>
      <c r="B16" s="19" t="inlineStr">
        <is>
          <t>Evan Firth</t>
        </is>
      </c>
      <c r="C16" s="5" t="n">
        <v>10</v>
      </c>
      <c r="D16" s="20" t="inlineStr">
        <is>
          <t>Planning to play</t>
        </is>
      </c>
      <c r="E16" s="19" t="inlineStr"/>
      <c r="F16" s="19" t="inlineStr">
        <is>
          <t>PC(4)</t>
        </is>
      </c>
    </row>
    <row r="17" ht="18" customHeight="1">
      <c r="A17" s="4" t="n">
        <v>13</v>
      </c>
      <c r="B17" s="17" t="inlineStr">
        <is>
          <t>John Marton</t>
        </is>
      </c>
      <c r="C17" s="4" t="n">
        <v>10</v>
      </c>
      <c r="D17" s="20" t="inlineStr">
        <is>
          <t>Planning to play</t>
        </is>
      </c>
      <c r="E17" s="17" t="inlineStr"/>
      <c r="F17" s="17" t="inlineStr">
        <is>
          <t>PC(2)</t>
        </is>
      </c>
    </row>
    <row r="18" ht="18" customHeight="1">
      <c r="A18" s="5" t="n">
        <v>14</v>
      </c>
      <c r="B18" s="19" t="inlineStr">
        <is>
          <t>Makenzie Lane</t>
        </is>
      </c>
      <c r="C18" s="5" t="n">
        <v>8</v>
      </c>
      <c r="D18" s="20" t="inlineStr">
        <is>
          <t>Planning to play</t>
        </is>
      </c>
      <c r="E18" s="19" t="inlineStr"/>
      <c r="F18" s="19" t="inlineStr">
        <is>
          <t>PLR(6), PL(1)</t>
        </is>
      </c>
    </row>
    <row r="19" ht="18" customHeight="1">
      <c r="A19" s="4" t="n">
        <v>15</v>
      </c>
      <c r="B19" s="17" t="inlineStr">
        <is>
          <t>Noah Webster</t>
        </is>
      </c>
      <c r="C19" s="4" t="n">
        <v>7</v>
      </c>
      <c r="D19" s="27" t="inlineStr">
        <is>
          <t>Not returning</t>
        </is>
      </c>
      <c r="E19" s="17" t="inlineStr"/>
      <c r="F19" s="17" t="inlineStr">
        <is>
          <t>PLR(1)</t>
        </is>
      </c>
    </row>
    <row r="20" ht="18" customHeight="1">
      <c r="A20" s="5" t="n">
        <v>16</v>
      </c>
      <c r="B20" s="19" t="inlineStr">
        <is>
          <t>Brenton Pollard</t>
        </is>
      </c>
      <c r="C20" s="5" t="n">
        <v>5</v>
      </c>
      <c r="D20" s="20" t="inlineStr">
        <is>
          <t>Planning to play</t>
        </is>
      </c>
      <c r="E20" s="19" t="inlineStr"/>
      <c r="F20" s="19" t="inlineStr">
        <is>
          <t>—</t>
        </is>
      </c>
    </row>
    <row r="21" ht="18" customHeight="1">
      <c r="A21" s="4" t="n">
        <v>17</v>
      </c>
      <c r="B21" s="17" t="inlineStr">
        <is>
          <t>Mayukh Bera</t>
        </is>
      </c>
      <c r="C21" s="4" t="n">
        <v>3</v>
      </c>
      <c r="D21" s="18" t="inlineStr">
        <is>
          <t>Unlikely to play</t>
        </is>
      </c>
      <c r="E21" s="17" t="inlineStr"/>
      <c r="F21" s="17" t="inlineStr">
        <is>
          <t>—</t>
        </is>
      </c>
    </row>
    <row r="22" ht="18" customHeight="1">
      <c r="A22" s="5" t="n">
        <v>18</v>
      </c>
      <c r="B22" s="19" t="inlineStr">
        <is>
          <t>Ryan Janssen</t>
        </is>
      </c>
      <c r="C22" s="5" t="n">
        <v>1</v>
      </c>
      <c r="D22" s="21" t="inlineStr">
        <is>
          <t>Not heard from</t>
        </is>
      </c>
      <c r="E22" s="19" t="inlineStr"/>
      <c r="F22" s="19" t="inlineStr">
        <is>
          <t>PC(1)</t>
        </is>
      </c>
    </row>
    <row r="24" ht="8" customHeight="1"/>
    <row r="25" ht="20" customHeight="1">
      <c r="A25" s="28" t="inlineStr">
        <is>
          <t>FILL-INS  —  12 players (their main team is elsewhere)</t>
        </is>
      </c>
      <c r="B25" s="29" t="n"/>
      <c r="C25" s="29" t="n"/>
      <c r="D25" s="29" t="n"/>
      <c r="E25" s="29" t="n"/>
      <c r="F25" s="29" t="n"/>
    </row>
    <row r="26" ht="18" customHeight="1">
      <c r="A26" s="2" t="inlineStr">
        <is>
          <t>#</t>
        </is>
      </c>
      <c r="B26" s="2" t="inlineStr">
        <is>
          <t>Player</t>
        </is>
      </c>
      <c r="C26" s="2" t="inlineStr">
        <is>
          <t>Games Here</t>
        </is>
      </c>
      <c r="D26" s="2" t="inlineStr">
        <is>
          <t>Status</t>
        </is>
      </c>
      <c r="E26" s="2" t="inlineStr">
        <is>
          <t>Main Team</t>
        </is>
      </c>
      <c r="F26" s="2" t="inlineStr">
        <is>
          <t>Also played in</t>
        </is>
      </c>
    </row>
    <row r="27" ht="18" customHeight="1">
      <c r="A27" s="4" t="n">
        <v>1</v>
      </c>
      <c r="B27" s="17" t="inlineStr">
        <is>
          <t>Lucas Gray</t>
        </is>
      </c>
      <c r="C27" s="4" t="n">
        <v>5</v>
      </c>
      <c r="D27" s="20" t="inlineStr">
        <is>
          <t>Planning to play</t>
        </is>
      </c>
      <c r="E27" s="4" t="inlineStr">
        <is>
          <t>PLR — Pennant League Reserves</t>
        </is>
      </c>
      <c r="F27" s="17" t="inlineStr">
        <is>
          <t>PLR(8), PL(1)</t>
        </is>
      </c>
    </row>
    <row r="28" ht="18" customHeight="1">
      <c r="A28" s="30" t="n">
        <v>2</v>
      </c>
      <c r="B28" s="31" t="inlineStr">
        <is>
          <t>Thomas Lapa</t>
        </is>
      </c>
      <c r="C28" s="30" t="n">
        <v>5</v>
      </c>
      <c r="D28" s="21" t="inlineStr">
        <is>
          <t>Not heard from</t>
        </is>
      </c>
      <c r="E28" s="30" t="inlineStr">
        <is>
          <t>PC — Pennant C</t>
        </is>
      </c>
      <c r="F28" s="31" t="inlineStr">
        <is>
          <t>PC(9), PLR(1)</t>
        </is>
      </c>
    </row>
    <row r="29" ht="18" customHeight="1">
      <c r="A29" s="4" t="n">
        <v>3</v>
      </c>
      <c r="B29" s="17" t="inlineStr">
        <is>
          <t>Benjamin Bouwer</t>
        </is>
      </c>
      <c r="C29" s="4" t="n">
        <v>3</v>
      </c>
      <c r="D29" s="20" t="inlineStr">
        <is>
          <t>Planning to play</t>
        </is>
      </c>
      <c r="E29" s="4" t="inlineStr">
        <is>
          <t>PLR — Pennant League Reserves</t>
        </is>
      </c>
      <c r="F29" s="17" t="inlineStr">
        <is>
          <t>PLR(9), PL(1)</t>
        </is>
      </c>
    </row>
    <row r="30" ht="18" customHeight="1">
      <c r="A30" s="30" t="n">
        <v>4</v>
      </c>
      <c r="B30" s="31" t="inlineStr">
        <is>
          <t>Luke Callander</t>
        </is>
      </c>
      <c r="C30" s="30" t="n">
        <v>3</v>
      </c>
      <c r="D30" s="20" t="inlineStr">
        <is>
          <t>Planning to play</t>
        </is>
      </c>
      <c r="E30" s="30" t="inlineStr">
        <is>
          <t>PLR — Pennant League Reserves</t>
        </is>
      </c>
      <c r="F30" s="31" t="inlineStr">
        <is>
          <t>PLR(9), PL(1)</t>
        </is>
      </c>
    </row>
    <row r="31" ht="18" customHeight="1">
      <c r="A31" s="4" t="n">
        <v>5</v>
      </c>
      <c r="B31" s="17" t="inlineStr">
        <is>
          <t>Ayrton Corben</t>
        </is>
      </c>
      <c r="C31" s="4" t="n">
        <v>3</v>
      </c>
      <c r="D31" s="27" t="inlineStr">
        <is>
          <t>Not returning</t>
        </is>
      </c>
      <c r="E31" s="4" t="inlineStr">
        <is>
          <t>PLR — Pennant League Reserves</t>
        </is>
      </c>
      <c r="F31" s="17" t="inlineStr">
        <is>
          <t>PLR(9), PL(1)</t>
        </is>
      </c>
    </row>
    <row r="32" ht="18" customHeight="1">
      <c r="A32" s="30" t="n">
        <v>6</v>
      </c>
      <c r="B32" s="31" t="inlineStr">
        <is>
          <t>Ashton Rankin</t>
        </is>
      </c>
      <c r="C32" s="30" t="n">
        <v>3</v>
      </c>
      <c r="D32" s="20" t="inlineStr">
        <is>
          <t>Planning to play</t>
        </is>
      </c>
      <c r="E32" s="30" t="inlineStr">
        <is>
          <t>PLR — Pennant League Reserves</t>
        </is>
      </c>
      <c r="F32" s="31" t="inlineStr">
        <is>
          <t>PLR(11), PL(1)</t>
        </is>
      </c>
    </row>
    <row r="33" ht="18" customHeight="1">
      <c r="A33" s="4" t="n">
        <v>7</v>
      </c>
      <c r="B33" s="17" t="inlineStr">
        <is>
          <t>Liam Moss</t>
        </is>
      </c>
      <c r="C33" s="4" t="n">
        <v>2</v>
      </c>
      <c r="D33" s="20" t="inlineStr">
        <is>
          <t>Planning to play</t>
        </is>
      </c>
      <c r="E33" s="4" t="inlineStr">
        <is>
          <t>PLR — Pennant League Reserves</t>
        </is>
      </c>
      <c r="F33" s="17" t="inlineStr">
        <is>
          <t>PLR(13), PL(1)</t>
        </is>
      </c>
    </row>
    <row r="34" ht="18" customHeight="1">
      <c r="A34" s="30" t="n">
        <v>8</v>
      </c>
      <c r="B34" s="31" t="inlineStr">
        <is>
          <t>Fraser Boyle</t>
        </is>
      </c>
      <c r="C34" s="30" t="n">
        <v>2</v>
      </c>
      <c r="D34" s="20" t="inlineStr">
        <is>
          <t>Planning to play</t>
        </is>
      </c>
      <c r="E34" s="30" t="inlineStr">
        <is>
          <t>PC — Pennant C</t>
        </is>
      </c>
      <c r="F34" s="31" t="inlineStr">
        <is>
          <t>PC(9)</t>
        </is>
      </c>
    </row>
    <row r="35" ht="18" customHeight="1">
      <c r="A35" s="4" t="n">
        <v>9</v>
      </c>
      <c r="B35" s="17" t="inlineStr">
        <is>
          <t>Cooper Crane</t>
        </is>
      </c>
      <c r="C35" s="4" t="n">
        <v>1</v>
      </c>
      <c r="D35" s="20" t="inlineStr">
        <is>
          <t>Planning to play</t>
        </is>
      </c>
      <c r="E35" s="4" t="inlineStr">
        <is>
          <t>PLR — Pennant League Reserves</t>
        </is>
      </c>
      <c r="F35" s="17" t="inlineStr">
        <is>
          <t>PLR(9), PL(2)</t>
        </is>
      </c>
    </row>
    <row r="36" ht="18" customHeight="1">
      <c r="A36" s="30" t="n">
        <v>10</v>
      </c>
      <c r="B36" s="31" t="inlineStr">
        <is>
          <t>Stephen O'Brien</t>
        </is>
      </c>
      <c r="C36" s="30" t="n">
        <v>1</v>
      </c>
      <c r="D36" s="20" t="inlineStr">
        <is>
          <t>Planning to play</t>
        </is>
      </c>
      <c r="E36" s="30" t="inlineStr">
        <is>
          <t>PLR — Pennant League Reserves</t>
        </is>
      </c>
      <c r="F36" s="31" t="inlineStr">
        <is>
          <t>PLR(14), PL(1)</t>
        </is>
      </c>
    </row>
    <row r="37" ht="18" customHeight="1">
      <c r="A37" s="4" t="n">
        <v>11</v>
      </c>
      <c r="B37" s="17" t="inlineStr">
        <is>
          <t>Riley Paulauskas</t>
        </is>
      </c>
      <c r="C37" s="4" t="n">
        <v>1</v>
      </c>
      <c r="D37" s="21" t="inlineStr">
        <is>
          <t>Not heard from</t>
        </is>
      </c>
      <c r="E37" s="4" t="inlineStr">
        <is>
          <t>PC — Pennant C</t>
        </is>
      </c>
      <c r="F37" s="17" t="inlineStr">
        <is>
          <t>PC(14)</t>
        </is>
      </c>
    </row>
    <row r="38" ht="18" customHeight="1">
      <c r="A38" s="30" t="n">
        <v>12</v>
      </c>
      <c r="B38" s="31" t="inlineStr">
        <is>
          <t>Cameron Stokoe</t>
        </is>
      </c>
      <c r="C38" s="30" t="n">
        <v>1</v>
      </c>
      <c r="D38" s="20" t="inlineStr">
        <is>
          <t>Planning to play</t>
        </is>
      </c>
      <c r="E38" s="30" t="inlineStr">
        <is>
          <t>PC — Pennant C</t>
        </is>
      </c>
      <c r="F38" s="31" t="inlineStr">
        <is>
          <t>PC(11), PE(1)</t>
        </is>
      </c>
    </row>
    <row r="40" ht="8" customHeight="1"/>
    <row r="41" ht="18" customHeight="1">
      <c r="A41" s="6" t="inlineStr">
        <is>
          <t>SUMMARY</t>
        </is>
      </c>
      <c r="B41" s="32" t="n"/>
      <c r="C41" s="32" t="n"/>
      <c r="D41" s="32" t="n"/>
      <c r="E41" s="32" t="n"/>
      <c r="F41" s="32" t="n"/>
    </row>
    <row r="42" ht="18" customHeight="1">
      <c r="A42" s="33" t="inlineStr">
        <is>
          <t>Main squad size</t>
        </is>
      </c>
      <c r="B42" s="34">
        <f>COUNTA(B5:B22)</f>
        <v/>
      </c>
      <c r="C42" s="35" t="n"/>
      <c r="D42" s="35" t="n"/>
      <c r="E42" s="35" t="n"/>
      <c r="F42" s="35" t="n"/>
    </row>
    <row r="43" ht="18" customHeight="1">
      <c r="A43" s="36" t="inlineStr">
        <is>
          <t>✔  Planning to play</t>
        </is>
      </c>
      <c r="B43" s="37">
        <f>COUNTIF(D5:D22,"Planning to play")</f>
        <v/>
      </c>
      <c r="C43" s="38" t="n"/>
      <c r="D43" s="38" t="n"/>
      <c r="E43" s="38" t="n"/>
      <c r="F43" s="38" t="n"/>
    </row>
    <row r="44" ht="18" customHeight="1">
      <c r="A44" s="39" t="inlineStr">
        <is>
          <t>⚠  Unsure</t>
        </is>
      </c>
      <c r="B44" s="40">
        <f>COUNTIF(D5:D22,"Unsure")</f>
        <v/>
      </c>
      <c r="C44" s="41" t="n"/>
      <c r="D44" s="41" t="n"/>
      <c r="E44" s="41" t="n"/>
      <c r="F44" s="41" t="n"/>
    </row>
    <row r="45" ht="18" customHeight="1">
      <c r="A45" s="42" t="inlineStr">
        <is>
          <t>⚙  Unlikely to play</t>
        </is>
      </c>
      <c r="B45" s="43">
        <f>COUNTIF(D5:D22,"Unlikely to play")</f>
        <v/>
      </c>
      <c r="C45" s="44" t="n"/>
      <c r="D45" s="44" t="n"/>
      <c r="E45" s="44" t="n"/>
      <c r="F45" s="44" t="n"/>
    </row>
    <row r="46" ht="18" customHeight="1">
      <c r="A46" s="45" t="inlineStr">
        <is>
          <t>◻  Not heard from</t>
        </is>
      </c>
      <c r="B46" s="46">
        <f>COUNTIF(D5:D22,"Not heard from")</f>
        <v/>
      </c>
      <c r="C46" s="47" t="n"/>
      <c r="D46" s="47" t="n"/>
      <c r="E46" s="47" t="n"/>
      <c r="F46" s="47" t="n"/>
    </row>
    <row r="47" ht="18" customHeight="1">
      <c r="A47" s="48" t="inlineStr">
        <is>
          <t>✘  Not returning</t>
        </is>
      </c>
      <c r="B47" s="49">
        <f>COUNTIF(D5:D22,"Not returning")</f>
        <v/>
      </c>
      <c r="C47" s="50" t="n"/>
      <c r="D47" s="50" t="n"/>
      <c r="E47" s="50" t="n"/>
      <c r="F47" s="50" t="n"/>
    </row>
    <row r="48" ht="18" customHeight="1">
      <c r="A48" s="45" t="inlineStr">
        <is>
          <t>⚙  Fill-in only</t>
        </is>
      </c>
      <c r="B48" s="46">
        <f>COUNTIF(D5:D22,"Fill-in only")</f>
        <v/>
      </c>
      <c r="C48" s="47" t="n"/>
      <c r="D48" s="47" t="n"/>
      <c r="E48" s="47" t="n"/>
      <c r="F48" s="47" t="n"/>
    </row>
    <row r="49" ht="18" customHeight="1">
      <c r="A49" s="51" t="inlineStr">
        <is>
          <t>Fill-ins on this team</t>
        </is>
      </c>
      <c r="B49" s="52" t="n">
        <v>12</v>
      </c>
      <c r="C49" s="53" t="n"/>
      <c r="D49" s="53" t="n"/>
      <c r="E49" s="53" t="n"/>
      <c r="F49" s="53" t="n"/>
    </row>
  </sheetData>
  <mergeCells count="5">
    <mergeCell ref="A41:F41"/>
    <mergeCell ref="A2:F2"/>
    <mergeCell ref="A1:F1"/>
    <mergeCell ref="A3:F3"/>
    <mergeCell ref="A25:F25"/>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56"/>
  <sheetViews>
    <sheetView workbookViewId="0">
      <selection activeCell="A1" sqref="A1"/>
    </sheetView>
  </sheetViews>
  <sheetFormatPr baseColWidth="8" defaultRowHeight="15"/>
  <cols>
    <col width="4" customWidth="1" min="1" max="1"/>
    <col width="24" customWidth="1" min="2" max="2"/>
    <col width="12" customWidth="1" min="3" max="3"/>
    <col width="22" customWidth="1" min="4" max="4"/>
    <col width="44" customWidth="1" min="5" max="5"/>
    <col width="30" customWidth="1" min="6" max="6"/>
  </cols>
  <sheetData>
    <row r="1" ht="28" customHeight="1">
      <c r="A1" s="1" t="inlineStr">
        <is>
          <t>PC — Pennant C  —  2025 Squad &amp; 2026 Registration Status</t>
        </is>
      </c>
    </row>
    <row r="2" ht="16" customHeight="1">
      <c r="A2" s="23" t="inlineStr">
        <is>
          <t xml:space="preserve">   Green = Planning to play     Yellow = Unsure     Purple = Unlikely to play     Grey = Not heard from / Fill-in     Red = Not returning</t>
        </is>
      </c>
    </row>
    <row r="3" ht="20" customHeight="1">
      <c r="A3" s="24" t="inlineStr">
        <is>
          <t>MAIN SQUAD  —  18 players (this is their primary team)</t>
        </is>
      </c>
      <c r="B3" s="25" t="n"/>
      <c r="C3" s="25" t="n"/>
      <c r="D3" s="25" t="n"/>
      <c r="E3" s="25" t="n"/>
      <c r="F3" s="25" t="n"/>
    </row>
    <row r="4" ht="18" customHeight="1">
      <c r="A4" s="2" t="inlineStr">
        <is>
          <t>#</t>
        </is>
      </c>
      <c r="B4" s="2" t="inlineStr">
        <is>
          <t>Player</t>
        </is>
      </c>
      <c r="C4" s="2" t="inlineStr">
        <is>
          <t>2025 Games</t>
        </is>
      </c>
      <c r="D4" s="2" t="inlineStr">
        <is>
          <t>2026 Status</t>
        </is>
      </c>
      <c r="E4" s="2" t="inlineStr">
        <is>
          <t>Notes</t>
        </is>
      </c>
      <c r="F4" s="2" t="inlineStr">
        <is>
          <t>Also played in</t>
        </is>
      </c>
    </row>
    <row r="5" ht="18" customHeight="1">
      <c r="A5" s="4" t="n">
        <v>1</v>
      </c>
      <c r="B5" s="17" t="inlineStr">
        <is>
          <t>Jules Ingram</t>
        </is>
      </c>
      <c r="C5" s="4" t="n">
        <v>15</v>
      </c>
      <c r="D5" s="27" t="inlineStr">
        <is>
          <t>Not returning</t>
        </is>
      </c>
      <c r="E5" s="17" t="inlineStr"/>
      <c r="F5" s="17" t="inlineStr">
        <is>
          <t>—</t>
        </is>
      </c>
    </row>
    <row r="6" ht="18" customHeight="1">
      <c r="A6" s="5" t="n">
        <v>2</v>
      </c>
      <c r="B6" s="19" t="inlineStr">
        <is>
          <t>Dorian Quenette</t>
        </is>
      </c>
      <c r="C6" s="5" t="n">
        <v>15</v>
      </c>
      <c r="D6" s="20" t="inlineStr">
        <is>
          <t>Planning to play</t>
        </is>
      </c>
      <c r="E6" s="19" t="inlineStr"/>
      <c r="F6" s="19" t="inlineStr">
        <is>
          <t>PE(1)</t>
        </is>
      </c>
    </row>
    <row r="7" ht="18" customHeight="1">
      <c r="A7" s="4" t="n">
        <v>3</v>
      </c>
      <c r="B7" s="17" t="inlineStr">
        <is>
          <t>Riley Paulauskas</t>
        </is>
      </c>
      <c r="C7" s="4" t="n">
        <v>14</v>
      </c>
      <c r="D7" s="21" t="inlineStr">
        <is>
          <t>Not heard from</t>
        </is>
      </c>
      <c r="E7" s="17" t="inlineStr"/>
      <c r="F7" s="17" t="inlineStr">
        <is>
          <t>PB(1)</t>
        </is>
      </c>
    </row>
    <row r="8" ht="18" customHeight="1">
      <c r="A8" s="5" t="n">
        <v>4</v>
      </c>
      <c r="B8" s="19" t="inlineStr">
        <is>
          <t>Luke Linden</t>
        </is>
      </c>
      <c r="C8" s="5" t="n">
        <v>14</v>
      </c>
      <c r="D8" s="20" t="inlineStr">
        <is>
          <t>Planning to play</t>
        </is>
      </c>
      <c r="E8" s="19" t="inlineStr"/>
      <c r="F8" s="19" t="inlineStr">
        <is>
          <t>—</t>
        </is>
      </c>
    </row>
    <row r="9" ht="18" customHeight="1">
      <c r="A9" s="4" t="n">
        <v>5</v>
      </c>
      <c r="B9" s="17" t="inlineStr">
        <is>
          <t>Cameron Connell</t>
        </is>
      </c>
      <c r="C9" s="4" t="n">
        <v>13</v>
      </c>
      <c r="D9" s="20" t="inlineStr">
        <is>
          <t>Planning to play</t>
        </is>
      </c>
      <c r="E9" s="17" t="inlineStr"/>
      <c r="F9" s="17" t="inlineStr">
        <is>
          <t>PE(1)</t>
        </is>
      </c>
    </row>
    <row r="10" ht="18" customHeight="1">
      <c r="A10" s="5" t="n">
        <v>6</v>
      </c>
      <c r="B10" s="19" t="inlineStr">
        <is>
          <t>Cameron Stokoe</t>
        </is>
      </c>
      <c r="C10" s="5" t="n">
        <v>11</v>
      </c>
      <c r="D10" s="20" t="inlineStr">
        <is>
          <t>Planning to play</t>
        </is>
      </c>
      <c r="E10" s="19" t="inlineStr"/>
      <c r="F10" s="19" t="inlineStr">
        <is>
          <t>PB(1), PE(1)</t>
        </is>
      </c>
    </row>
    <row r="11" ht="18" customHeight="1">
      <c r="A11" s="4" t="n">
        <v>7</v>
      </c>
      <c r="B11" s="17" t="inlineStr">
        <is>
          <t>Daniel N Bowen</t>
        </is>
      </c>
      <c r="C11" s="4" t="n">
        <v>11</v>
      </c>
      <c r="D11" s="21" t="inlineStr">
        <is>
          <t>Not heard from</t>
        </is>
      </c>
      <c r="E11" s="17" t="inlineStr"/>
      <c r="F11" s="17" t="inlineStr">
        <is>
          <t>—</t>
        </is>
      </c>
    </row>
    <row r="12" ht="18" customHeight="1">
      <c r="A12" s="5" t="n">
        <v>8</v>
      </c>
      <c r="B12" s="19" t="inlineStr">
        <is>
          <t>Darren D'Souza</t>
        </is>
      </c>
      <c r="C12" s="5" t="n">
        <v>11</v>
      </c>
      <c r="D12" s="21" t="inlineStr">
        <is>
          <t>Not heard from</t>
        </is>
      </c>
      <c r="E12" s="19" t="inlineStr"/>
      <c r="F12" s="19" t="inlineStr">
        <is>
          <t>PE(1)</t>
        </is>
      </c>
    </row>
    <row r="13" ht="18" customHeight="1">
      <c r="A13" s="4" t="n">
        <v>9</v>
      </c>
      <c r="B13" s="17" t="inlineStr">
        <is>
          <t>Callen Paulauskas</t>
        </is>
      </c>
      <c r="C13" s="4" t="n">
        <v>11</v>
      </c>
      <c r="D13" s="20" t="inlineStr">
        <is>
          <t>Planning to play</t>
        </is>
      </c>
      <c r="E13" s="17" t="inlineStr"/>
      <c r="F13" s="17" t="inlineStr">
        <is>
          <t>PE(6)</t>
        </is>
      </c>
    </row>
    <row r="14" ht="18" customHeight="1">
      <c r="A14" s="5" t="n">
        <v>10</v>
      </c>
      <c r="B14" s="19" t="inlineStr">
        <is>
          <t>Stuart Quenette</t>
        </is>
      </c>
      <c r="C14" s="5" t="n">
        <v>11</v>
      </c>
      <c r="D14" s="21" t="inlineStr">
        <is>
          <t>Not heard from</t>
        </is>
      </c>
      <c r="E14" s="19" t="inlineStr"/>
      <c r="F14" s="19" t="inlineStr">
        <is>
          <t>PE(2)</t>
        </is>
      </c>
    </row>
    <row r="15" ht="18" customHeight="1">
      <c r="A15" s="4" t="n">
        <v>11</v>
      </c>
      <c r="B15" s="17" t="inlineStr">
        <is>
          <t>Scott Boucher</t>
        </is>
      </c>
      <c r="C15" s="4" t="n">
        <v>10</v>
      </c>
      <c r="D15" s="21" t="inlineStr">
        <is>
          <t>Not heard from</t>
        </is>
      </c>
      <c r="E15" s="17" t="inlineStr"/>
      <c r="F15" s="17" t="inlineStr">
        <is>
          <t>—</t>
        </is>
      </c>
    </row>
    <row r="16" ht="18" customHeight="1">
      <c r="A16" s="5" t="n">
        <v>12</v>
      </c>
      <c r="B16" s="19" t="inlineStr">
        <is>
          <t>Thomas Lapa</t>
        </is>
      </c>
      <c r="C16" s="5" t="n">
        <v>9</v>
      </c>
      <c r="D16" s="21" t="inlineStr">
        <is>
          <t>Not heard from</t>
        </is>
      </c>
      <c r="E16" s="19" t="inlineStr"/>
      <c r="F16" s="19" t="inlineStr">
        <is>
          <t>PB(5), PLR(1)</t>
        </is>
      </c>
    </row>
    <row r="17" ht="18" customHeight="1">
      <c r="A17" s="4" t="n">
        <v>13</v>
      </c>
      <c r="B17" s="17" t="inlineStr">
        <is>
          <t>Fraser Boyle</t>
        </is>
      </c>
      <c r="C17" s="4" t="n">
        <v>9</v>
      </c>
      <c r="D17" s="20" t="inlineStr">
        <is>
          <t>Planning to play</t>
        </is>
      </c>
      <c r="E17" s="17" t="inlineStr"/>
      <c r="F17" s="17" t="inlineStr">
        <is>
          <t>PB(2)</t>
        </is>
      </c>
    </row>
    <row r="18" ht="18" customHeight="1">
      <c r="A18" s="5" t="n">
        <v>14</v>
      </c>
      <c r="B18" s="19" t="inlineStr">
        <is>
          <t>Yoshi Fujihara</t>
        </is>
      </c>
      <c r="C18" s="5" t="n">
        <v>8</v>
      </c>
      <c r="D18" s="21" t="inlineStr">
        <is>
          <t>Not heard from</t>
        </is>
      </c>
      <c r="E18" s="19" t="inlineStr"/>
      <c r="F18" s="19" t="inlineStr">
        <is>
          <t>PE(5), Metro(1)</t>
        </is>
      </c>
    </row>
    <row r="19" ht="18" customHeight="1">
      <c r="A19" s="4" t="n">
        <v>15</v>
      </c>
      <c r="B19" s="17" t="inlineStr">
        <is>
          <t>Alexander Bowen</t>
        </is>
      </c>
      <c r="C19" s="4" t="n">
        <v>3</v>
      </c>
      <c r="D19" s="21" t="inlineStr">
        <is>
          <t>Not heard from</t>
        </is>
      </c>
      <c r="E19" s="17" t="inlineStr"/>
      <c r="F19" s="17" t="inlineStr">
        <is>
          <t>—</t>
        </is>
      </c>
    </row>
    <row r="20" ht="18" customHeight="1">
      <c r="A20" s="5" t="n">
        <v>16</v>
      </c>
      <c r="B20" s="19" t="inlineStr">
        <is>
          <t>Cory Mclean</t>
        </is>
      </c>
      <c r="C20" s="5" t="n">
        <v>3</v>
      </c>
      <c r="D20" s="21" t="inlineStr">
        <is>
          <t>Not heard from</t>
        </is>
      </c>
      <c r="E20" s="19" t="inlineStr"/>
      <c r="F20" s="19" t="inlineStr">
        <is>
          <t>—</t>
        </is>
      </c>
    </row>
    <row r="21" ht="18" customHeight="1">
      <c r="A21" s="4" t="n">
        <v>17</v>
      </c>
      <c r="B21" s="17" t="inlineStr">
        <is>
          <t>Adrian Jones</t>
        </is>
      </c>
      <c r="C21" s="4" t="n">
        <v>2</v>
      </c>
      <c r="D21" s="21" t="inlineStr">
        <is>
          <t>Not heard from</t>
        </is>
      </c>
      <c r="E21" s="17" t="inlineStr"/>
      <c r="F21" s="17" t="inlineStr">
        <is>
          <t>—</t>
        </is>
      </c>
    </row>
    <row r="22" ht="18" customHeight="1">
      <c r="A22" s="5" t="n">
        <v>18</v>
      </c>
      <c r="B22" s="19" t="inlineStr">
        <is>
          <t>Taye Cahoon</t>
        </is>
      </c>
      <c r="C22" s="5" t="n">
        <v>1</v>
      </c>
      <c r="D22" s="21" t="inlineStr">
        <is>
          <t>Not heard from</t>
        </is>
      </c>
      <c r="E22" s="19" t="inlineStr"/>
      <c r="F22" s="19" t="inlineStr">
        <is>
          <t>PE(1)</t>
        </is>
      </c>
    </row>
    <row r="24" ht="8" customHeight="1"/>
    <row r="25" ht="20" customHeight="1">
      <c r="A25" s="28" t="inlineStr">
        <is>
          <t>FILL-INS  —  19 players (their main team is elsewhere)</t>
        </is>
      </c>
      <c r="B25" s="29" t="n"/>
      <c r="C25" s="29" t="n"/>
      <c r="D25" s="29" t="n"/>
      <c r="E25" s="29" t="n"/>
      <c r="F25" s="29" t="n"/>
    </row>
    <row r="26" ht="18" customHeight="1">
      <c r="A26" s="2" t="inlineStr">
        <is>
          <t>#</t>
        </is>
      </c>
      <c r="B26" s="2" t="inlineStr">
        <is>
          <t>Player</t>
        </is>
      </c>
      <c r="C26" s="2" t="inlineStr">
        <is>
          <t>Games Here</t>
        </is>
      </c>
      <c r="D26" s="2" t="inlineStr">
        <is>
          <t>Status</t>
        </is>
      </c>
      <c r="E26" s="2" t="inlineStr">
        <is>
          <t>Main Team</t>
        </is>
      </c>
      <c r="F26" s="2" t="inlineStr">
        <is>
          <t>Also played in</t>
        </is>
      </c>
    </row>
    <row r="27" ht="18" customHeight="1">
      <c r="A27" s="4" t="n">
        <v>1</v>
      </c>
      <c r="B27" s="17" t="inlineStr">
        <is>
          <t>Grant Robinson</t>
        </is>
      </c>
      <c r="C27" s="4" t="n">
        <v>7</v>
      </c>
      <c r="D27" s="20" t="inlineStr">
        <is>
          <t>Planning to play</t>
        </is>
      </c>
      <c r="E27" s="4" t="inlineStr">
        <is>
          <t>PE — Pennant E</t>
        </is>
      </c>
      <c r="F27" s="17" t="inlineStr">
        <is>
          <t>PE(9)</t>
        </is>
      </c>
    </row>
    <row r="28" ht="18" customHeight="1">
      <c r="A28" s="30" t="n">
        <v>2</v>
      </c>
      <c r="B28" s="31" t="inlineStr">
        <is>
          <t>Kaden Lukes</t>
        </is>
      </c>
      <c r="C28" s="30" t="n">
        <v>4</v>
      </c>
      <c r="D28" s="20" t="inlineStr">
        <is>
          <t>Planning to play</t>
        </is>
      </c>
      <c r="E28" s="30" t="inlineStr">
        <is>
          <t>PB — Pennant B</t>
        </is>
      </c>
      <c r="F28" s="31" t="inlineStr">
        <is>
          <t>PB(11)</t>
        </is>
      </c>
    </row>
    <row r="29" ht="18" customHeight="1">
      <c r="A29" s="4" t="n">
        <v>3</v>
      </c>
      <c r="B29" s="17" t="inlineStr">
        <is>
          <t>Evan Firth</t>
        </is>
      </c>
      <c r="C29" s="4" t="n">
        <v>4</v>
      </c>
      <c r="D29" s="20" t="inlineStr">
        <is>
          <t>Planning to play</t>
        </is>
      </c>
      <c r="E29" s="4" t="inlineStr">
        <is>
          <t>PB — Pennant B</t>
        </is>
      </c>
      <c r="F29" s="17" t="inlineStr">
        <is>
          <t>PB(10)</t>
        </is>
      </c>
    </row>
    <row r="30" ht="18" customHeight="1">
      <c r="A30" s="30" t="n">
        <v>4</v>
      </c>
      <c r="B30" s="31" t="inlineStr">
        <is>
          <t>Bailey Clayton</t>
        </is>
      </c>
      <c r="C30" s="30" t="n">
        <v>3</v>
      </c>
      <c r="D30" s="20" t="inlineStr">
        <is>
          <t>Planning to play</t>
        </is>
      </c>
      <c r="E30" s="30" t="inlineStr">
        <is>
          <t>PB — Pennant B</t>
        </is>
      </c>
      <c r="F30" s="31" t="inlineStr">
        <is>
          <t>PB(13), PLR(1)</t>
        </is>
      </c>
    </row>
    <row r="31" ht="18" customHeight="1">
      <c r="A31" s="4" t="n">
        <v>5</v>
      </c>
      <c r="B31" s="17" t="inlineStr">
        <is>
          <t>Brady Cake</t>
        </is>
      </c>
      <c r="C31" s="4" t="n">
        <v>3</v>
      </c>
      <c r="D31" s="20" t="inlineStr">
        <is>
          <t>Planning to play</t>
        </is>
      </c>
      <c r="E31" s="4" t="inlineStr">
        <is>
          <t>PB — Pennant B</t>
        </is>
      </c>
      <c r="F31" s="17" t="inlineStr">
        <is>
          <t>PB(11)</t>
        </is>
      </c>
    </row>
    <row r="32" ht="18" customHeight="1">
      <c r="A32" s="30" t="n">
        <v>6</v>
      </c>
      <c r="B32" s="31" t="inlineStr">
        <is>
          <t>Tony Yam</t>
        </is>
      </c>
      <c r="C32" s="30" t="n">
        <v>2</v>
      </c>
      <c r="D32" s="20" t="inlineStr">
        <is>
          <t>Planning to play</t>
        </is>
      </c>
      <c r="E32" s="30" t="inlineStr">
        <is>
          <t>PB — Pennant B</t>
        </is>
      </c>
      <c r="F32" s="31" t="inlineStr">
        <is>
          <t>PB(15)</t>
        </is>
      </c>
    </row>
    <row r="33" ht="18" customHeight="1">
      <c r="A33" s="4" t="n">
        <v>7</v>
      </c>
      <c r="B33" s="17" t="inlineStr">
        <is>
          <t>Cooper Bayliss</t>
        </is>
      </c>
      <c r="C33" s="4" t="n">
        <v>2</v>
      </c>
      <c r="D33" s="20" t="inlineStr">
        <is>
          <t>Planning to play</t>
        </is>
      </c>
      <c r="E33" s="4" t="inlineStr">
        <is>
          <t>PB — Pennant B</t>
        </is>
      </c>
      <c r="F33" s="17" t="inlineStr">
        <is>
          <t>PB(14)</t>
        </is>
      </c>
    </row>
    <row r="34" ht="18" customHeight="1">
      <c r="A34" s="30" t="n">
        <v>8</v>
      </c>
      <c r="B34" s="31" t="inlineStr">
        <is>
          <t>Tak Chau</t>
        </is>
      </c>
      <c r="C34" s="30" t="n">
        <v>2</v>
      </c>
      <c r="D34" s="20" t="inlineStr">
        <is>
          <t>Planning to play</t>
        </is>
      </c>
      <c r="E34" s="30" t="inlineStr">
        <is>
          <t>PB — Pennant B</t>
        </is>
      </c>
      <c r="F34" s="31" t="inlineStr">
        <is>
          <t>PB(13)</t>
        </is>
      </c>
    </row>
    <row r="35" ht="18" customHeight="1">
      <c r="A35" s="4" t="n">
        <v>9</v>
      </c>
      <c r="B35" s="17" t="inlineStr">
        <is>
          <t>Hong Chau</t>
        </is>
      </c>
      <c r="C35" s="4" t="n">
        <v>2</v>
      </c>
      <c r="D35" s="20" t="inlineStr">
        <is>
          <t>Planning to play</t>
        </is>
      </c>
      <c r="E35" s="4" t="inlineStr">
        <is>
          <t>PB — Pennant B</t>
        </is>
      </c>
      <c r="F35" s="17" t="inlineStr">
        <is>
          <t>PB(12)</t>
        </is>
      </c>
    </row>
    <row r="36" ht="18" customHeight="1">
      <c r="A36" s="30" t="n">
        <v>10</v>
      </c>
      <c r="B36" s="31" t="inlineStr">
        <is>
          <t>John Marton</t>
        </is>
      </c>
      <c r="C36" s="30" t="n">
        <v>2</v>
      </c>
      <c r="D36" s="20" t="inlineStr">
        <is>
          <t>Planning to play</t>
        </is>
      </c>
      <c r="E36" s="30" t="inlineStr">
        <is>
          <t>PB — Pennant B</t>
        </is>
      </c>
      <c r="F36" s="31" t="inlineStr">
        <is>
          <t>PB(10)</t>
        </is>
      </c>
    </row>
    <row r="37" ht="18" customHeight="1">
      <c r="A37" s="4" t="n">
        <v>11</v>
      </c>
      <c r="B37" s="17" t="inlineStr">
        <is>
          <t>Sam Forbes</t>
        </is>
      </c>
      <c r="C37" s="4" t="n">
        <v>2</v>
      </c>
      <c r="D37" s="20" t="inlineStr">
        <is>
          <t>Planning to play</t>
        </is>
      </c>
      <c r="E37" s="4" t="inlineStr">
        <is>
          <t>PE — Pennant E</t>
        </is>
      </c>
      <c r="F37" s="17" t="inlineStr">
        <is>
          <t>PE(12)</t>
        </is>
      </c>
    </row>
    <row r="38" ht="18" customHeight="1">
      <c r="A38" s="30" t="n">
        <v>12</v>
      </c>
      <c r="B38" s="31" t="inlineStr">
        <is>
          <t>Gurbinder Singh</t>
        </is>
      </c>
      <c r="C38" s="30" t="n">
        <v>2</v>
      </c>
      <c r="D38" s="20" t="inlineStr">
        <is>
          <t>Planning to play</t>
        </is>
      </c>
      <c r="E38" s="30" t="inlineStr">
        <is>
          <t>PE — Pennant E</t>
        </is>
      </c>
      <c r="F38" s="31" t="inlineStr">
        <is>
          <t>PE(5)</t>
        </is>
      </c>
    </row>
    <row r="39" ht="18" customHeight="1">
      <c r="A39" s="4" t="n">
        <v>13</v>
      </c>
      <c r="B39" s="17" t="inlineStr">
        <is>
          <t>Alexander Stock</t>
        </is>
      </c>
      <c r="C39" s="4" t="n">
        <v>1</v>
      </c>
      <c r="D39" s="21" t="inlineStr">
        <is>
          <t>Not heard from</t>
        </is>
      </c>
      <c r="E39" s="4" t="inlineStr">
        <is>
          <t>PB — Pennant B</t>
        </is>
      </c>
      <c r="F39" s="17" t="inlineStr">
        <is>
          <t>PB(14)</t>
        </is>
      </c>
    </row>
    <row r="40" ht="18" customHeight="1">
      <c r="A40" s="30" t="n">
        <v>14</v>
      </c>
      <c r="B40" s="31" t="inlineStr">
        <is>
          <t>Lachie White</t>
        </is>
      </c>
      <c r="C40" s="30" t="n">
        <v>1</v>
      </c>
      <c r="D40" s="21" t="inlineStr">
        <is>
          <t>Not heard from</t>
        </is>
      </c>
      <c r="E40" s="30" t="inlineStr">
        <is>
          <t>PB — Pennant B</t>
        </is>
      </c>
      <c r="F40" s="31" t="inlineStr">
        <is>
          <t>PB(14)</t>
        </is>
      </c>
    </row>
    <row r="41" ht="18" customHeight="1">
      <c r="A41" s="4" t="n">
        <v>15</v>
      </c>
      <c r="B41" s="17" t="inlineStr">
        <is>
          <t>Steve Waters</t>
        </is>
      </c>
      <c r="C41" s="4" t="n">
        <v>1</v>
      </c>
      <c r="D41" s="20" t="inlineStr">
        <is>
          <t>Planning to play</t>
        </is>
      </c>
      <c r="E41" s="4" t="inlineStr">
        <is>
          <t>PB — Pennant B</t>
        </is>
      </c>
      <c r="F41" s="17" t="inlineStr">
        <is>
          <t>PB(12)</t>
        </is>
      </c>
    </row>
    <row r="42" ht="18" customHeight="1">
      <c r="A42" s="30" t="n">
        <v>16</v>
      </c>
      <c r="B42" s="31" t="inlineStr">
        <is>
          <t>Ryan Janssen</t>
        </is>
      </c>
      <c r="C42" s="30" t="n">
        <v>1</v>
      </c>
      <c r="D42" s="21" t="inlineStr">
        <is>
          <t>Not heard from</t>
        </is>
      </c>
      <c r="E42" s="30" t="inlineStr">
        <is>
          <t>PB — Pennant B</t>
        </is>
      </c>
      <c r="F42" s="31" t="inlineStr">
        <is>
          <t>PB(1)</t>
        </is>
      </c>
    </row>
    <row r="43" ht="18" customHeight="1">
      <c r="A43" s="4" t="n">
        <v>17</v>
      </c>
      <c r="B43" s="17" t="inlineStr">
        <is>
          <t>Kai Han</t>
        </is>
      </c>
      <c r="C43" s="4" t="n">
        <v>1</v>
      </c>
      <c r="D43" s="20" t="inlineStr">
        <is>
          <t>Planning to play</t>
        </is>
      </c>
      <c r="E43" s="4" t="inlineStr">
        <is>
          <t>PE — Pennant E</t>
        </is>
      </c>
      <c r="F43" s="17" t="inlineStr">
        <is>
          <t>PE(10)</t>
        </is>
      </c>
    </row>
    <row r="44" ht="18" customHeight="1">
      <c r="A44" s="30" t="n">
        <v>18</v>
      </c>
      <c r="B44" s="31" t="inlineStr">
        <is>
          <t>Calum Mcdermott</t>
        </is>
      </c>
      <c r="C44" s="30" t="n">
        <v>1</v>
      </c>
      <c r="D44" s="21" t="inlineStr">
        <is>
          <t>Not heard from</t>
        </is>
      </c>
      <c r="E44" s="30" t="inlineStr">
        <is>
          <t>PE — Pennant E</t>
        </is>
      </c>
      <c r="F44" s="31" t="inlineStr">
        <is>
          <t>PE(8), Metro(1)</t>
        </is>
      </c>
    </row>
    <row r="45" ht="18" customHeight="1">
      <c r="A45" s="4" t="n">
        <v>19</v>
      </c>
      <c r="B45" s="17" t="inlineStr">
        <is>
          <t>Pankaj Saini</t>
        </is>
      </c>
      <c r="C45" s="4" t="n">
        <v>1</v>
      </c>
      <c r="D45" s="20" t="inlineStr">
        <is>
          <t>Planning to play</t>
        </is>
      </c>
      <c r="E45" s="4" t="inlineStr">
        <is>
          <t>PE — Pennant E</t>
        </is>
      </c>
      <c r="F45" s="17" t="inlineStr">
        <is>
          <t>PE(3)</t>
        </is>
      </c>
    </row>
    <row r="47" ht="8" customHeight="1"/>
    <row r="48" ht="18" customHeight="1">
      <c r="A48" s="6" t="inlineStr">
        <is>
          <t>SUMMARY</t>
        </is>
      </c>
      <c r="B48" s="32" t="n"/>
      <c r="C48" s="32" t="n"/>
      <c r="D48" s="32" t="n"/>
      <c r="E48" s="32" t="n"/>
      <c r="F48" s="32" t="n"/>
    </row>
    <row r="49" ht="18" customHeight="1">
      <c r="A49" s="33" t="inlineStr">
        <is>
          <t>Main squad size</t>
        </is>
      </c>
      <c r="B49" s="34">
        <f>COUNTA(B5:B22)</f>
        <v/>
      </c>
      <c r="C49" s="35" t="n"/>
      <c r="D49" s="35" t="n"/>
      <c r="E49" s="35" t="n"/>
      <c r="F49" s="35" t="n"/>
    </row>
    <row r="50" ht="18" customHeight="1">
      <c r="A50" s="36" t="inlineStr">
        <is>
          <t>✔  Planning to play</t>
        </is>
      </c>
      <c r="B50" s="37">
        <f>COUNTIF(D5:D22,"Planning to play")</f>
        <v/>
      </c>
      <c r="C50" s="38" t="n"/>
      <c r="D50" s="38" t="n"/>
      <c r="E50" s="38" t="n"/>
      <c r="F50" s="38" t="n"/>
    </row>
    <row r="51" ht="18" customHeight="1">
      <c r="A51" s="39" t="inlineStr">
        <is>
          <t>⚠  Unsure</t>
        </is>
      </c>
      <c r="B51" s="40">
        <f>COUNTIF(D5:D22,"Unsure")</f>
        <v/>
      </c>
      <c r="C51" s="41" t="n"/>
      <c r="D51" s="41" t="n"/>
      <c r="E51" s="41" t="n"/>
      <c r="F51" s="41" t="n"/>
    </row>
    <row r="52" ht="18" customHeight="1">
      <c r="A52" s="42" t="inlineStr">
        <is>
          <t>⚙  Unlikely to play</t>
        </is>
      </c>
      <c r="B52" s="43">
        <f>COUNTIF(D5:D22,"Unlikely to play")</f>
        <v/>
      </c>
      <c r="C52" s="44" t="n"/>
      <c r="D52" s="44" t="n"/>
      <c r="E52" s="44" t="n"/>
      <c r="F52" s="44" t="n"/>
    </row>
    <row r="53" ht="18" customHeight="1">
      <c r="A53" s="45" t="inlineStr">
        <is>
          <t>◻  Not heard from</t>
        </is>
      </c>
      <c r="B53" s="46">
        <f>COUNTIF(D5:D22,"Not heard from")</f>
        <v/>
      </c>
      <c r="C53" s="47" t="n"/>
      <c r="D53" s="47" t="n"/>
      <c r="E53" s="47" t="n"/>
      <c r="F53" s="47" t="n"/>
    </row>
    <row r="54" ht="18" customHeight="1">
      <c r="A54" s="48" t="inlineStr">
        <is>
          <t>✘  Not returning</t>
        </is>
      </c>
      <c r="B54" s="49">
        <f>COUNTIF(D5:D22,"Not returning")</f>
        <v/>
      </c>
      <c r="C54" s="50" t="n"/>
      <c r="D54" s="50" t="n"/>
      <c r="E54" s="50" t="n"/>
      <c r="F54" s="50" t="n"/>
    </row>
    <row r="55" ht="18" customHeight="1">
      <c r="A55" s="45" t="inlineStr">
        <is>
          <t>⚙  Fill-in only</t>
        </is>
      </c>
      <c r="B55" s="46">
        <f>COUNTIF(D5:D22,"Fill-in only")</f>
        <v/>
      </c>
      <c r="C55" s="47" t="n"/>
      <c r="D55" s="47" t="n"/>
      <c r="E55" s="47" t="n"/>
      <c r="F55" s="47" t="n"/>
    </row>
    <row r="56" ht="18" customHeight="1">
      <c r="A56" s="51" t="inlineStr">
        <is>
          <t>Fill-ins on this team</t>
        </is>
      </c>
      <c r="B56" s="52" t="n">
        <v>19</v>
      </c>
      <c r="C56" s="53" t="n"/>
      <c r="D56" s="53" t="n"/>
      <c r="E56" s="53" t="n"/>
      <c r="F56" s="53" t="n"/>
    </row>
  </sheetData>
  <mergeCells count="5">
    <mergeCell ref="A2:F2"/>
    <mergeCell ref="A1:F1"/>
    <mergeCell ref="A48:F48"/>
    <mergeCell ref="A3:F3"/>
    <mergeCell ref="A25:F25"/>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58"/>
  <sheetViews>
    <sheetView workbookViewId="0">
      <selection activeCell="A1" sqref="A1"/>
    </sheetView>
  </sheetViews>
  <sheetFormatPr baseColWidth="8" defaultRowHeight="15"/>
  <cols>
    <col width="4" customWidth="1" min="1" max="1"/>
    <col width="24" customWidth="1" min="2" max="2"/>
    <col width="12" customWidth="1" min="3" max="3"/>
    <col width="22" customWidth="1" min="4" max="4"/>
    <col width="44" customWidth="1" min="5" max="5"/>
    <col width="30" customWidth="1" min="6" max="6"/>
  </cols>
  <sheetData>
    <row r="1" ht="28" customHeight="1">
      <c r="A1" s="1" t="inlineStr">
        <is>
          <t>PE — Pennant E  —  2025 Squad &amp; 2026 Registration Status</t>
        </is>
      </c>
    </row>
    <row r="2" ht="16" customHeight="1">
      <c r="A2" s="23" t="inlineStr">
        <is>
          <t xml:space="preserve">   Green = Planning to play     Yellow = Unsure     Purple = Unlikely to play     Grey = Not heard from / Fill-in     Red = Not returning</t>
        </is>
      </c>
    </row>
    <row r="3" ht="20" customHeight="1">
      <c r="A3" s="24" t="inlineStr">
        <is>
          <t>MAIN SQUAD  —  21 players (this is their primary team)</t>
        </is>
      </c>
      <c r="B3" s="25" t="n"/>
      <c r="C3" s="25" t="n"/>
      <c r="D3" s="25" t="n"/>
      <c r="E3" s="25" t="n"/>
      <c r="F3" s="25" t="n"/>
    </row>
    <row r="4" ht="18" customHeight="1">
      <c r="A4" s="2" t="inlineStr">
        <is>
          <t>#</t>
        </is>
      </c>
      <c r="B4" s="2" t="inlineStr">
        <is>
          <t>Player</t>
        </is>
      </c>
      <c r="C4" s="2" t="inlineStr">
        <is>
          <t>2025 Games</t>
        </is>
      </c>
      <c r="D4" s="2" t="inlineStr">
        <is>
          <t>2026 Status</t>
        </is>
      </c>
      <c r="E4" s="2" t="inlineStr">
        <is>
          <t>Notes</t>
        </is>
      </c>
      <c r="F4" s="2" t="inlineStr">
        <is>
          <t>Also played in</t>
        </is>
      </c>
    </row>
    <row r="5" ht="18" customHeight="1">
      <c r="A5" s="4" t="n">
        <v>1</v>
      </c>
      <c r="B5" s="17" t="inlineStr">
        <is>
          <t>Zac Hamilton</t>
        </is>
      </c>
      <c r="C5" s="4" t="n">
        <v>14</v>
      </c>
      <c r="D5" s="21" t="inlineStr">
        <is>
          <t>Not heard from</t>
        </is>
      </c>
      <c r="E5" s="17" t="inlineStr"/>
      <c r="F5" s="17" t="inlineStr">
        <is>
          <t>Metro(2)</t>
        </is>
      </c>
    </row>
    <row r="6" ht="18" customHeight="1">
      <c r="A6" s="5" t="n">
        <v>2</v>
      </c>
      <c r="B6" s="19" t="inlineStr">
        <is>
          <t>Yarno Vlasblom</t>
        </is>
      </c>
      <c r="C6" s="5" t="n">
        <v>14</v>
      </c>
      <c r="D6" s="20" t="inlineStr">
        <is>
          <t>Planning to play</t>
        </is>
      </c>
      <c r="E6" s="19" t="inlineStr"/>
      <c r="F6" s="19" t="inlineStr">
        <is>
          <t>Metro(1)</t>
        </is>
      </c>
    </row>
    <row r="7" ht="18" customHeight="1">
      <c r="A7" s="4" t="n">
        <v>3</v>
      </c>
      <c r="B7" s="17" t="inlineStr">
        <is>
          <t>Sam Forbes</t>
        </is>
      </c>
      <c r="C7" s="4" t="n">
        <v>12</v>
      </c>
      <c r="D7" s="20" t="inlineStr">
        <is>
          <t>Planning to play</t>
        </is>
      </c>
      <c r="E7" s="17" t="inlineStr"/>
      <c r="F7" s="17" t="inlineStr">
        <is>
          <t>PC(2)</t>
        </is>
      </c>
    </row>
    <row r="8" ht="18" customHeight="1">
      <c r="A8" s="5" t="n">
        <v>4</v>
      </c>
      <c r="B8" s="19" t="inlineStr">
        <is>
          <t>Stirling Arnott</t>
        </is>
      </c>
      <c r="C8" s="5" t="n">
        <v>12</v>
      </c>
      <c r="D8" s="20" t="inlineStr">
        <is>
          <t>Planning to play</t>
        </is>
      </c>
      <c r="E8" s="19" t="inlineStr"/>
      <c r="F8" s="19" t="inlineStr">
        <is>
          <t>Metro(5)</t>
        </is>
      </c>
    </row>
    <row r="9" ht="18" customHeight="1">
      <c r="A9" s="4" t="n">
        <v>5</v>
      </c>
      <c r="B9" s="17" t="inlineStr">
        <is>
          <t>Campbell Evans</t>
        </is>
      </c>
      <c r="C9" s="4" t="n">
        <v>12</v>
      </c>
      <c r="D9" s="20" t="inlineStr">
        <is>
          <t>Planning to play</t>
        </is>
      </c>
      <c r="E9" s="17" t="inlineStr"/>
      <c r="F9" s="17" t="inlineStr">
        <is>
          <t>Metro(1)</t>
        </is>
      </c>
    </row>
    <row r="10" ht="18" customHeight="1">
      <c r="A10" s="5" t="n">
        <v>6</v>
      </c>
      <c r="B10" s="19" t="inlineStr">
        <is>
          <t>Enzi Waters</t>
        </is>
      </c>
      <c r="C10" s="5" t="n">
        <v>12</v>
      </c>
      <c r="D10" s="20" t="inlineStr">
        <is>
          <t>Planning to play</t>
        </is>
      </c>
      <c r="E10" s="19" t="inlineStr"/>
      <c r="F10" s="19" t="inlineStr">
        <is>
          <t>Metro(1)</t>
        </is>
      </c>
    </row>
    <row r="11" ht="18" customHeight="1">
      <c r="A11" s="4" t="n">
        <v>7</v>
      </c>
      <c r="B11" s="17" t="inlineStr">
        <is>
          <t>Asher Bunyon</t>
        </is>
      </c>
      <c r="C11" s="4" t="n">
        <v>11</v>
      </c>
      <c r="D11" s="21" t="inlineStr">
        <is>
          <t>Not heard from</t>
        </is>
      </c>
      <c r="E11" s="17" t="inlineStr"/>
      <c r="F11" s="17" t="inlineStr">
        <is>
          <t>—</t>
        </is>
      </c>
    </row>
    <row r="12" ht="18" customHeight="1">
      <c r="A12" s="5" t="n">
        <v>8</v>
      </c>
      <c r="B12" s="19" t="inlineStr">
        <is>
          <t>Kai Han</t>
        </is>
      </c>
      <c r="C12" s="5" t="n">
        <v>10</v>
      </c>
      <c r="D12" s="20" t="inlineStr">
        <is>
          <t>Planning to play</t>
        </is>
      </c>
      <c r="E12" s="19" t="inlineStr"/>
      <c r="F12" s="19" t="inlineStr">
        <is>
          <t>PC(1)</t>
        </is>
      </c>
    </row>
    <row r="13" ht="18" customHeight="1">
      <c r="A13" s="4" t="n">
        <v>9</v>
      </c>
      <c r="B13" s="17" t="inlineStr">
        <is>
          <t>Phillip Crane</t>
        </is>
      </c>
      <c r="C13" s="4" t="n">
        <v>10</v>
      </c>
      <c r="D13" s="21" t="inlineStr">
        <is>
          <t>Not heard from</t>
        </is>
      </c>
      <c r="E13" s="17" t="inlineStr"/>
      <c r="F13" s="17" t="inlineStr">
        <is>
          <t>—</t>
        </is>
      </c>
    </row>
    <row r="14" ht="18" customHeight="1">
      <c r="A14" s="5" t="n">
        <v>10</v>
      </c>
      <c r="B14" s="19" t="inlineStr">
        <is>
          <t>Grant Robinson</t>
        </is>
      </c>
      <c r="C14" s="5" t="n">
        <v>9</v>
      </c>
      <c r="D14" s="20" t="inlineStr">
        <is>
          <t>Planning to play</t>
        </is>
      </c>
      <c r="E14" s="19" t="inlineStr"/>
      <c r="F14" s="19" t="inlineStr">
        <is>
          <t>PC(7)</t>
        </is>
      </c>
    </row>
    <row r="15" ht="18" customHeight="1">
      <c r="A15" s="4" t="n">
        <v>11</v>
      </c>
      <c r="B15" s="17" t="inlineStr">
        <is>
          <t>Calum Mcdermott</t>
        </is>
      </c>
      <c r="C15" s="4" t="n">
        <v>8</v>
      </c>
      <c r="D15" s="21" t="inlineStr">
        <is>
          <t>Not heard from</t>
        </is>
      </c>
      <c r="E15" s="17" t="inlineStr"/>
      <c r="F15" s="17" t="inlineStr">
        <is>
          <t>PC(1), Metro(1)</t>
        </is>
      </c>
    </row>
    <row r="16" ht="18" customHeight="1">
      <c r="A16" s="5" t="n">
        <v>12</v>
      </c>
      <c r="B16" s="19" t="inlineStr">
        <is>
          <t>Mark Evans</t>
        </is>
      </c>
      <c r="C16" s="5" t="n">
        <v>7</v>
      </c>
      <c r="D16" s="20" t="inlineStr">
        <is>
          <t>Planning to play</t>
        </is>
      </c>
      <c r="E16" s="19" t="inlineStr"/>
      <c r="F16" s="19" t="inlineStr">
        <is>
          <t>Metro(2)</t>
        </is>
      </c>
    </row>
    <row r="17" ht="18" customHeight="1">
      <c r="A17" s="4" t="n">
        <v>13</v>
      </c>
      <c r="B17" s="17" t="inlineStr">
        <is>
          <t>Bryce Davies</t>
        </is>
      </c>
      <c r="C17" s="4" t="n">
        <v>6</v>
      </c>
      <c r="D17" s="20" t="inlineStr">
        <is>
          <t>Planning to play</t>
        </is>
      </c>
      <c r="E17" s="17" t="inlineStr"/>
      <c r="F17" s="17" t="inlineStr">
        <is>
          <t>—</t>
        </is>
      </c>
    </row>
    <row r="18" ht="18" customHeight="1">
      <c r="A18" s="5" t="n">
        <v>14</v>
      </c>
      <c r="B18" s="19" t="inlineStr">
        <is>
          <t>Gurbinder Singh</t>
        </is>
      </c>
      <c r="C18" s="5" t="n">
        <v>5</v>
      </c>
      <c r="D18" s="20" t="inlineStr">
        <is>
          <t>Planning to play</t>
        </is>
      </c>
      <c r="E18" s="19" t="inlineStr"/>
      <c r="F18" s="19" t="inlineStr">
        <is>
          <t>PC(2)</t>
        </is>
      </c>
    </row>
    <row r="19" ht="18" customHeight="1">
      <c r="A19" s="4" t="n">
        <v>15</v>
      </c>
      <c r="B19" s="17" t="inlineStr">
        <is>
          <t>Jason Back</t>
        </is>
      </c>
      <c r="C19" s="4" t="n">
        <v>4</v>
      </c>
      <c r="D19" s="21" t="inlineStr">
        <is>
          <t>Not heard from</t>
        </is>
      </c>
      <c r="E19" s="17" t="inlineStr"/>
      <c r="F19" s="17" t="inlineStr">
        <is>
          <t>—</t>
        </is>
      </c>
    </row>
    <row r="20" ht="18" customHeight="1">
      <c r="A20" s="5" t="n">
        <v>16</v>
      </c>
      <c r="B20" s="19" t="inlineStr">
        <is>
          <t>Pieter Vandevelde</t>
        </is>
      </c>
      <c r="C20" s="5" t="n">
        <v>4</v>
      </c>
      <c r="D20" s="21" t="inlineStr">
        <is>
          <t>Not heard from</t>
        </is>
      </c>
      <c r="E20" s="19" t="inlineStr"/>
      <c r="F20" s="19" t="inlineStr">
        <is>
          <t>—</t>
        </is>
      </c>
    </row>
    <row r="21" ht="18" customHeight="1">
      <c r="A21" s="4" t="n">
        <v>17</v>
      </c>
      <c r="B21" s="17" t="inlineStr">
        <is>
          <t>Pankaj Saini</t>
        </is>
      </c>
      <c r="C21" s="4" t="n">
        <v>3</v>
      </c>
      <c r="D21" s="20" t="inlineStr">
        <is>
          <t>Planning to play</t>
        </is>
      </c>
      <c r="E21" s="17" t="inlineStr"/>
      <c r="F21" s="17" t="inlineStr">
        <is>
          <t>PC(1)</t>
        </is>
      </c>
    </row>
    <row r="22" ht="18" customHeight="1">
      <c r="A22" s="5" t="n">
        <v>18</v>
      </c>
      <c r="B22" s="19" t="inlineStr">
        <is>
          <t>Darren Dalton</t>
        </is>
      </c>
      <c r="C22" s="5" t="n">
        <v>2</v>
      </c>
      <c r="D22" s="18" t="inlineStr">
        <is>
          <t>Unlikely to play</t>
        </is>
      </c>
      <c r="E22" s="19" t="inlineStr"/>
      <c r="F22" s="19" t="inlineStr">
        <is>
          <t>—</t>
        </is>
      </c>
    </row>
    <row r="23" ht="18" customHeight="1">
      <c r="A23" s="4" t="n">
        <v>19</v>
      </c>
      <c r="B23" s="17" t="inlineStr">
        <is>
          <t>Tom Brook</t>
        </is>
      </c>
      <c r="C23" s="4" t="n">
        <v>2</v>
      </c>
      <c r="D23" s="21" t="inlineStr">
        <is>
          <t>Not heard from</t>
        </is>
      </c>
      <c r="E23" s="17" t="inlineStr"/>
      <c r="F23" s="17" t="inlineStr">
        <is>
          <t>—</t>
        </is>
      </c>
    </row>
    <row r="24" ht="18" customHeight="1">
      <c r="A24" s="5" t="n">
        <v>20</v>
      </c>
      <c r="B24" s="19" t="inlineStr">
        <is>
          <t>Tim Cansdale</t>
        </is>
      </c>
      <c r="C24" s="5" t="n">
        <v>1</v>
      </c>
      <c r="D24" s="21" t="inlineStr">
        <is>
          <t>Fill-in only</t>
        </is>
      </c>
      <c r="E24" s="19" t="inlineStr"/>
      <c r="F24" s="19" t="inlineStr">
        <is>
          <t>—</t>
        </is>
      </c>
    </row>
    <row r="25" ht="18" customHeight="1">
      <c r="A25" s="4" t="n">
        <v>21</v>
      </c>
      <c r="B25" s="17" t="inlineStr">
        <is>
          <t>Simon Rodgers</t>
        </is>
      </c>
      <c r="C25" s="4" t="n">
        <v>1</v>
      </c>
      <c r="D25" s="21" t="inlineStr">
        <is>
          <t>Not heard from</t>
        </is>
      </c>
      <c r="E25" s="17" t="inlineStr"/>
      <c r="F25" s="17" t="inlineStr">
        <is>
          <t>Metro(1)</t>
        </is>
      </c>
    </row>
    <row r="27" ht="8" customHeight="1"/>
    <row r="28" ht="20" customHeight="1">
      <c r="A28" s="28" t="inlineStr">
        <is>
          <t>FILL-INS  —  18 players (their main team is elsewhere)</t>
        </is>
      </c>
      <c r="B28" s="29" t="n"/>
      <c r="C28" s="29" t="n"/>
      <c r="D28" s="29" t="n"/>
      <c r="E28" s="29" t="n"/>
      <c r="F28" s="29" t="n"/>
    </row>
    <row r="29" ht="18" customHeight="1">
      <c r="A29" s="2" t="inlineStr">
        <is>
          <t>#</t>
        </is>
      </c>
      <c r="B29" s="2" t="inlineStr">
        <is>
          <t>Player</t>
        </is>
      </c>
      <c r="C29" s="2" t="inlineStr">
        <is>
          <t>Games Here</t>
        </is>
      </c>
      <c r="D29" s="2" t="inlineStr">
        <is>
          <t>Status</t>
        </is>
      </c>
      <c r="E29" s="2" t="inlineStr">
        <is>
          <t>Main Team</t>
        </is>
      </c>
      <c r="F29" s="2" t="inlineStr">
        <is>
          <t>Also played in</t>
        </is>
      </c>
    </row>
    <row r="30" ht="18" customHeight="1">
      <c r="A30" s="4" t="n">
        <v>1</v>
      </c>
      <c r="B30" s="17" t="inlineStr">
        <is>
          <t>Callen Paulauskas</t>
        </is>
      </c>
      <c r="C30" s="4" t="n">
        <v>6</v>
      </c>
      <c r="D30" s="20" t="inlineStr">
        <is>
          <t>Planning to play</t>
        </is>
      </c>
      <c r="E30" s="4" t="inlineStr">
        <is>
          <t>PC — Pennant C</t>
        </is>
      </c>
      <c r="F30" s="17" t="inlineStr">
        <is>
          <t>PC(11)</t>
        </is>
      </c>
    </row>
    <row r="31" ht="18" customHeight="1">
      <c r="A31" s="30" t="n">
        <v>2</v>
      </c>
      <c r="B31" s="31" t="inlineStr">
        <is>
          <t>Yoshi Fujihara</t>
        </is>
      </c>
      <c r="C31" s="30" t="n">
        <v>5</v>
      </c>
      <c r="D31" s="21" t="inlineStr">
        <is>
          <t>Not heard from</t>
        </is>
      </c>
      <c r="E31" s="30" t="inlineStr">
        <is>
          <t>PC — Pennant C</t>
        </is>
      </c>
      <c r="F31" s="31" t="inlineStr">
        <is>
          <t>PC(8), Metro(1)</t>
        </is>
      </c>
    </row>
    <row r="32" ht="18" customHeight="1">
      <c r="A32" s="4" t="n">
        <v>3</v>
      </c>
      <c r="B32" s="17" t="inlineStr">
        <is>
          <t>Andrew Ridley</t>
        </is>
      </c>
      <c r="C32" s="4" t="n">
        <v>4</v>
      </c>
      <c r="D32" s="20" t="inlineStr">
        <is>
          <t>Planning to play</t>
        </is>
      </c>
      <c r="E32" s="4" t="inlineStr">
        <is>
          <t>Metro</t>
        </is>
      </c>
      <c r="F32" s="17" t="inlineStr">
        <is>
          <t>Metro(8)</t>
        </is>
      </c>
    </row>
    <row r="33" ht="18" customHeight="1">
      <c r="A33" s="30" t="n">
        <v>4</v>
      </c>
      <c r="B33" s="31" t="inlineStr">
        <is>
          <t>Stuart Quenette</t>
        </is>
      </c>
      <c r="C33" s="30" t="n">
        <v>2</v>
      </c>
      <c r="D33" s="21" t="inlineStr">
        <is>
          <t>Not heard from</t>
        </is>
      </c>
      <c r="E33" s="30" t="inlineStr">
        <is>
          <t>PC — Pennant C</t>
        </is>
      </c>
      <c r="F33" s="31" t="inlineStr">
        <is>
          <t>PC(11)</t>
        </is>
      </c>
    </row>
    <row r="34" ht="18" customHeight="1">
      <c r="A34" s="4" t="n">
        <v>5</v>
      </c>
      <c r="B34" s="17" t="inlineStr">
        <is>
          <t>Henry Crook</t>
        </is>
      </c>
      <c r="C34" s="4" t="n">
        <v>2</v>
      </c>
      <c r="D34" s="20" t="inlineStr">
        <is>
          <t>Planning to play</t>
        </is>
      </c>
      <c r="E34" s="4" t="inlineStr">
        <is>
          <t>Metro</t>
        </is>
      </c>
      <c r="F34" s="17" t="inlineStr">
        <is>
          <t>Metro(6)</t>
        </is>
      </c>
    </row>
    <row r="35" ht="18" customHeight="1">
      <c r="A35" s="30" t="n">
        <v>6</v>
      </c>
      <c r="B35" s="31" t="inlineStr">
        <is>
          <t>Aiden Jooste</t>
        </is>
      </c>
      <c r="C35" s="30" t="n">
        <v>2</v>
      </c>
      <c r="D35" s="21" t="inlineStr">
        <is>
          <t>Not heard from</t>
        </is>
      </c>
      <c r="E35" s="30" t="inlineStr">
        <is>
          <t>Metro</t>
        </is>
      </c>
      <c r="F35" s="31" t="inlineStr">
        <is>
          <t>Metro(11)</t>
        </is>
      </c>
    </row>
    <row r="36" ht="18" customHeight="1">
      <c r="A36" s="4" t="n">
        <v>7</v>
      </c>
      <c r="B36" s="17" t="inlineStr">
        <is>
          <t>Ben Rodgers</t>
        </is>
      </c>
      <c r="C36" s="4" t="n">
        <v>2</v>
      </c>
      <c r="D36" s="20" t="inlineStr">
        <is>
          <t>Planning to play</t>
        </is>
      </c>
      <c r="E36" s="4" t="inlineStr">
        <is>
          <t>Metro</t>
        </is>
      </c>
      <c r="F36" s="17" t="inlineStr">
        <is>
          <t>Metro(10)</t>
        </is>
      </c>
    </row>
    <row r="37" ht="18" customHeight="1">
      <c r="A37" s="30" t="n">
        <v>8</v>
      </c>
      <c r="B37" s="31" t="inlineStr">
        <is>
          <t>Cameron Stokoe</t>
        </is>
      </c>
      <c r="C37" s="30" t="n">
        <v>1</v>
      </c>
      <c r="D37" s="20" t="inlineStr">
        <is>
          <t>Planning to play</t>
        </is>
      </c>
      <c r="E37" s="30" t="inlineStr">
        <is>
          <t>PC — Pennant C</t>
        </is>
      </c>
      <c r="F37" s="31" t="inlineStr">
        <is>
          <t>PC(11), PB(1)</t>
        </is>
      </c>
    </row>
    <row r="38" ht="18" customHeight="1">
      <c r="A38" s="4" t="n">
        <v>9</v>
      </c>
      <c r="B38" s="17" t="inlineStr">
        <is>
          <t>Dorian Quenette</t>
        </is>
      </c>
      <c r="C38" s="4" t="n">
        <v>1</v>
      </c>
      <c r="D38" s="20" t="inlineStr">
        <is>
          <t>Planning to play</t>
        </is>
      </c>
      <c r="E38" s="4" t="inlineStr">
        <is>
          <t>PC — Pennant C</t>
        </is>
      </c>
      <c r="F38" s="17" t="inlineStr">
        <is>
          <t>PC(15)</t>
        </is>
      </c>
    </row>
    <row r="39" ht="18" customHeight="1">
      <c r="A39" s="30" t="n">
        <v>10</v>
      </c>
      <c r="B39" s="31" t="inlineStr">
        <is>
          <t>Cameron Connell</t>
        </is>
      </c>
      <c r="C39" s="30" t="n">
        <v>1</v>
      </c>
      <c r="D39" s="20" t="inlineStr">
        <is>
          <t>Planning to play</t>
        </is>
      </c>
      <c r="E39" s="30" t="inlineStr">
        <is>
          <t>PC — Pennant C</t>
        </is>
      </c>
      <c r="F39" s="31" t="inlineStr">
        <is>
          <t>PC(13)</t>
        </is>
      </c>
    </row>
    <row r="40" ht="18" customHeight="1">
      <c r="A40" s="4" t="n">
        <v>11</v>
      </c>
      <c r="B40" s="17" t="inlineStr">
        <is>
          <t>Darren D'Souza</t>
        </is>
      </c>
      <c r="C40" s="4" t="n">
        <v>1</v>
      </c>
      <c r="D40" s="21" t="inlineStr">
        <is>
          <t>Not heard from</t>
        </is>
      </c>
      <c r="E40" s="4" t="inlineStr">
        <is>
          <t>PC — Pennant C</t>
        </is>
      </c>
      <c r="F40" s="17" t="inlineStr">
        <is>
          <t>PC(11)</t>
        </is>
      </c>
    </row>
    <row r="41" ht="18" customHeight="1">
      <c r="A41" s="30" t="n">
        <v>12</v>
      </c>
      <c r="B41" s="31" t="inlineStr">
        <is>
          <t>Taye Cahoon</t>
        </is>
      </c>
      <c r="C41" s="30" t="n">
        <v>1</v>
      </c>
      <c r="D41" s="21" t="inlineStr">
        <is>
          <t>Not heard from</t>
        </is>
      </c>
      <c r="E41" s="30" t="inlineStr">
        <is>
          <t>PC — Pennant C</t>
        </is>
      </c>
      <c r="F41" s="31" t="inlineStr">
        <is>
          <t>PC(1)</t>
        </is>
      </c>
    </row>
    <row r="42" ht="18" customHeight="1">
      <c r="A42" s="4" t="n">
        <v>13</v>
      </c>
      <c r="B42" s="17" t="inlineStr">
        <is>
          <t>Ray Anderson</t>
        </is>
      </c>
      <c r="C42" s="4" t="n">
        <v>1</v>
      </c>
      <c r="D42" s="21" t="inlineStr">
        <is>
          <t>Fill-in only</t>
        </is>
      </c>
      <c r="E42" s="4" t="inlineStr">
        <is>
          <t>Metro</t>
        </is>
      </c>
      <c r="F42" s="17" t="inlineStr">
        <is>
          <t>Metro(4)</t>
        </is>
      </c>
    </row>
    <row r="43" ht="18" customHeight="1">
      <c r="A43" s="30" t="n">
        <v>14</v>
      </c>
      <c r="B43" s="31" t="inlineStr">
        <is>
          <t>Christopher Crook</t>
        </is>
      </c>
      <c r="C43" s="30" t="n">
        <v>1</v>
      </c>
      <c r="D43" s="20" t="inlineStr">
        <is>
          <t>Planning to play</t>
        </is>
      </c>
      <c r="E43" s="30" t="inlineStr">
        <is>
          <t>Metro</t>
        </is>
      </c>
      <c r="F43" s="31" t="inlineStr">
        <is>
          <t>Metro(3)</t>
        </is>
      </c>
    </row>
    <row r="44" ht="18" customHeight="1">
      <c r="A44" s="4" t="n">
        <v>15</v>
      </c>
      <c r="B44" s="17" t="inlineStr">
        <is>
          <t>Tim Ellem</t>
        </is>
      </c>
      <c r="C44" s="4" t="n">
        <v>1</v>
      </c>
      <c r="D44" s="26" t="inlineStr">
        <is>
          <t>Unsure</t>
        </is>
      </c>
      <c r="E44" s="4" t="inlineStr">
        <is>
          <t>Metro</t>
        </is>
      </c>
      <c r="F44" s="17" t="inlineStr">
        <is>
          <t>Metro(6)</t>
        </is>
      </c>
    </row>
    <row r="45" ht="18" customHeight="1">
      <c r="A45" s="30" t="n">
        <v>16</v>
      </c>
      <c r="B45" s="31" t="inlineStr">
        <is>
          <t>Anthony Forbes</t>
        </is>
      </c>
      <c r="C45" s="30" t="n">
        <v>1</v>
      </c>
      <c r="D45" s="20" t="inlineStr">
        <is>
          <t>Planning to play</t>
        </is>
      </c>
      <c r="E45" s="30" t="inlineStr">
        <is>
          <t>Metro</t>
        </is>
      </c>
      <c r="F45" s="31" t="inlineStr">
        <is>
          <t>Metro(12)</t>
        </is>
      </c>
    </row>
    <row r="46" ht="18" customHeight="1">
      <c r="A46" s="4" t="n">
        <v>17</v>
      </c>
      <c r="B46" s="17" t="inlineStr">
        <is>
          <t>Fletcher Gowdie</t>
        </is>
      </c>
      <c r="C46" s="4" t="n">
        <v>1</v>
      </c>
      <c r="D46" s="21" t="inlineStr">
        <is>
          <t>Not heard from</t>
        </is>
      </c>
      <c r="E46" s="4" t="inlineStr">
        <is>
          <t>Metro</t>
        </is>
      </c>
      <c r="F46" s="17" t="inlineStr">
        <is>
          <t>Metro(3)</t>
        </is>
      </c>
    </row>
    <row r="47" ht="18" customHeight="1">
      <c r="A47" s="30" t="n">
        <v>18</v>
      </c>
      <c r="B47" s="31" t="inlineStr">
        <is>
          <t>Damian Ord</t>
        </is>
      </c>
      <c r="C47" s="30" t="n">
        <v>1</v>
      </c>
      <c r="D47" s="21" t="inlineStr">
        <is>
          <t>Not heard from</t>
        </is>
      </c>
      <c r="E47" s="30" t="inlineStr">
        <is>
          <t>Metro</t>
        </is>
      </c>
      <c r="F47" s="31" t="inlineStr">
        <is>
          <t>Metro(5)</t>
        </is>
      </c>
    </row>
    <row r="49" ht="8" customHeight="1"/>
    <row r="50" ht="18" customHeight="1">
      <c r="A50" s="6" t="inlineStr">
        <is>
          <t>SUMMARY</t>
        </is>
      </c>
      <c r="B50" s="32" t="n"/>
      <c r="C50" s="32" t="n"/>
      <c r="D50" s="32" t="n"/>
      <c r="E50" s="32" t="n"/>
      <c r="F50" s="32" t="n"/>
    </row>
    <row r="51" ht="18" customHeight="1">
      <c r="A51" s="33" t="inlineStr">
        <is>
          <t>Main squad size</t>
        </is>
      </c>
      <c r="B51" s="34">
        <f>COUNTA(B5:B25)</f>
        <v/>
      </c>
      <c r="C51" s="35" t="n"/>
      <c r="D51" s="35" t="n"/>
      <c r="E51" s="35" t="n"/>
      <c r="F51" s="35" t="n"/>
    </row>
    <row r="52" ht="18" customHeight="1">
      <c r="A52" s="36" t="inlineStr">
        <is>
          <t>✔  Planning to play</t>
        </is>
      </c>
      <c r="B52" s="37">
        <f>COUNTIF(D5:D25,"Planning to play")</f>
        <v/>
      </c>
      <c r="C52" s="38" t="n"/>
      <c r="D52" s="38" t="n"/>
      <c r="E52" s="38" t="n"/>
      <c r="F52" s="38" t="n"/>
    </row>
    <row r="53" ht="18" customHeight="1">
      <c r="A53" s="39" t="inlineStr">
        <is>
          <t>⚠  Unsure</t>
        </is>
      </c>
      <c r="B53" s="40">
        <f>COUNTIF(D5:D25,"Unsure")</f>
        <v/>
      </c>
      <c r="C53" s="41" t="n"/>
      <c r="D53" s="41" t="n"/>
      <c r="E53" s="41" t="n"/>
      <c r="F53" s="41" t="n"/>
    </row>
    <row r="54" ht="18" customHeight="1">
      <c r="A54" s="42" t="inlineStr">
        <is>
          <t>⚙  Unlikely to play</t>
        </is>
      </c>
      <c r="B54" s="43">
        <f>COUNTIF(D5:D25,"Unlikely to play")</f>
        <v/>
      </c>
      <c r="C54" s="44" t="n"/>
      <c r="D54" s="44" t="n"/>
      <c r="E54" s="44" t="n"/>
      <c r="F54" s="44" t="n"/>
    </row>
    <row r="55" ht="18" customHeight="1">
      <c r="A55" s="45" t="inlineStr">
        <is>
          <t>◻  Not heard from</t>
        </is>
      </c>
      <c r="B55" s="46">
        <f>COUNTIF(D5:D25,"Not heard from")</f>
        <v/>
      </c>
      <c r="C55" s="47" t="n"/>
      <c r="D55" s="47" t="n"/>
      <c r="E55" s="47" t="n"/>
      <c r="F55" s="47" t="n"/>
    </row>
    <row r="56" ht="18" customHeight="1">
      <c r="A56" s="48" t="inlineStr">
        <is>
          <t>✘  Not returning</t>
        </is>
      </c>
      <c r="B56" s="49">
        <f>COUNTIF(D5:D25,"Not returning")</f>
        <v/>
      </c>
      <c r="C56" s="50" t="n"/>
      <c r="D56" s="50" t="n"/>
      <c r="E56" s="50" t="n"/>
      <c r="F56" s="50" t="n"/>
    </row>
    <row r="57" ht="18" customHeight="1">
      <c r="A57" s="45" t="inlineStr">
        <is>
          <t>⚙  Fill-in only</t>
        </is>
      </c>
      <c r="B57" s="46">
        <f>COUNTIF(D5:D25,"Fill-in only")</f>
        <v/>
      </c>
      <c r="C57" s="47" t="n"/>
      <c r="D57" s="47" t="n"/>
      <c r="E57" s="47" t="n"/>
      <c r="F57" s="47" t="n"/>
    </row>
    <row r="58" ht="18" customHeight="1">
      <c r="A58" s="51" t="inlineStr">
        <is>
          <t>Fill-ins on this team</t>
        </is>
      </c>
      <c r="B58" s="52" t="n">
        <v>18</v>
      </c>
      <c r="C58" s="53" t="n"/>
      <c r="D58" s="53" t="n"/>
      <c r="E58" s="53" t="n"/>
      <c r="F58" s="53" t="n"/>
    </row>
  </sheetData>
  <mergeCells count="5">
    <mergeCell ref="A2:F2"/>
    <mergeCell ref="A28:F28"/>
    <mergeCell ref="A1:F1"/>
    <mergeCell ref="A50:F50"/>
    <mergeCell ref="A3:F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60"/>
  <sheetViews>
    <sheetView workbookViewId="0">
      <selection activeCell="A1" sqref="A1"/>
    </sheetView>
  </sheetViews>
  <sheetFormatPr baseColWidth="8" defaultRowHeight="15"/>
  <cols>
    <col width="4" customWidth="1" min="1" max="1"/>
    <col width="24" customWidth="1" min="2" max="2"/>
    <col width="12" customWidth="1" min="3" max="3"/>
    <col width="22" customWidth="1" min="4" max="4"/>
    <col width="44" customWidth="1" min="5" max="5"/>
    <col width="30" customWidth="1" min="6" max="6"/>
  </cols>
  <sheetData>
    <row r="1" ht="28" customHeight="1">
      <c r="A1" s="1" t="inlineStr">
        <is>
          <t>Metro  —  2025 Squad &amp; 2026 Registration Status</t>
        </is>
      </c>
    </row>
    <row r="2" ht="16" customHeight="1">
      <c r="A2" s="23" t="inlineStr">
        <is>
          <t xml:space="preserve">   Green = Planning to play     Yellow = Unsure     Purple = Unlikely to play     Grey = Not heard from / Fill-in     Red = Not returning</t>
        </is>
      </c>
    </row>
    <row r="3" ht="20" customHeight="1">
      <c r="A3" s="24" t="inlineStr">
        <is>
          <t>MAIN SQUAD  —  32 players (this is their primary team)</t>
        </is>
      </c>
      <c r="B3" s="25" t="n"/>
      <c r="C3" s="25" t="n"/>
      <c r="D3" s="25" t="n"/>
      <c r="E3" s="25" t="n"/>
      <c r="F3" s="25" t="n"/>
    </row>
    <row r="4" ht="18" customHeight="1">
      <c r="A4" s="2" t="inlineStr">
        <is>
          <t>#</t>
        </is>
      </c>
      <c r="B4" s="2" t="inlineStr">
        <is>
          <t>Player</t>
        </is>
      </c>
      <c r="C4" s="2" t="inlineStr">
        <is>
          <t>2025 Games</t>
        </is>
      </c>
      <c r="D4" s="2" t="inlineStr">
        <is>
          <t>2026 Status</t>
        </is>
      </c>
      <c r="E4" s="2" t="inlineStr">
        <is>
          <t>Notes</t>
        </is>
      </c>
      <c r="F4" s="2" t="inlineStr">
        <is>
          <t>Also played in</t>
        </is>
      </c>
    </row>
    <row r="5" ht="18" customHeight="1">
      <c r="A5" s="4" t="n">
        <v>1</v>
      </c>
      <c r="B5" s="17" t="inlineStr">
        <is>
          <t>Justin Osborne</t>
        </is>
      </c>
      <c r="C5" s="4" t="n">
        <v>14</v>
      </c>
      <c r="D5" s="20" t="inlineStr">
        <is>
          <t>Planning to play</t>
        </is>
      </c>
      <c r="E5" s="17" t="inlineStr"/>
      <c r="F5" s="17" t="inlineStr">
        <is>
          <t>—</t>
        </is>
      </c>
    </row>
    <row r="6" ht="18" customHeight="1">
      <c r="A6" s="5" t="n">
        <v>2</v>
      </c>
      <c r="B6" s="19" t="inlineStr">
        <is>
          <t>Brian Rankin</t>
        </is>
      </c>
      <c r="C6" s="5" t="n">
        <v>13</v>
      </c>
      <c r="D6" s="20" t="inlineStr">
        <is>
          <t>Planning to play</t>
        </is>
      </c>
      <c r="E6" s="19" t="inlineStr"/>
      <c r="F6" s="19" t="inlineStr">
        <is>
          <t>—</t>
        </is>
      </c>
    </row>
    <row r="7" ht="18" customHeight="1">
      <c r="A7" s="4" t="n">
        <v>3</v>
      </c>
      <c r="B7" s="17" t="inlineStr">
        <is>
          <t>Luke Watkins</t>
        </is>
      </c>
      <c r="C7" s="4" t="n">
        <v>13</v>
      </c>
      <c r="D7" s="21" t="inlineStr">
        <is>
          <t>Not heard from</t>
        </is>
      </c>
      <c r="E7" s="17" t="inlineStr"/>
      <c r="F7" s="17" t="inlineStr">
        <is>
          <t>—</t>
        </is>
      </c>
    </row>
    <row r="8" ht="18" customHeight="1">
      <c r="A8" s="5" t="n">
        <v>4</v>
      </c>
      <c r="B8" s="19" t="inlineStr">
        <is>
          <t>James Weatherburn</t>
        </is>
      </c>
      <c r="C8" s="5" t="n">
        <v>13</v>
      </c>
      <c r="D8" s="20" t="inlineStr">
        <is>
          <t>Planning to play</t>
        </is>
      </c>
      <c r="E8" s="19" t="inlineStr"/>
      <c r="F8" s="19" t="inlineStr">
        <is>
          <t>—</t>
        </is>
      </c>
    </row>
    <row r="9" ht="18" customHeight="1">
      <c r="A9" s="4" t="n">
        <v>5</v>
      </c>
      <c r="B9" s="17" t="inlineStr">
        <is>
          <t>Anthony Forbes</t>
        </is>
      </c>
      <c r="C9" s="4" t="n">
        <v>12</v>
      </c>
      <c r="D9" s="20" t="inlineStr">
        <is>
          <t>Planning to play</t>
        </is>
      </c>
      <c r="E9" s="17" t="inlineStr"/>
      <c r="F9" s="17" t="inlineStr">
        <is>
          <t>PE(1)</t>
        </is>
      </c>
    </row>
    <row r="10" ht="18" customHeight="1">
      <c r="A10" s="5" t="n">
        <v>6</v>
      </c>
      <c r="B10" s="19" t="inlineStr">
        <is>
          <t>Aiden Jooste</t>
        </is>
      </c>
      <c r="C10" s="5" t="n">
        <v>11</v>
      </c>
      <c r="D10" s="21" t="inlineStr">
        <is>
          <t>Not heard from</t>
        </is>
      </c>
      <c r="E10" s="19" t="inlineStr"/>
      <c r="F10" s="19" t="inlineStr">
        <is>
          <t>PE(2)</t>
        </is>
      </c>
    </row>
    <row r="11" ht="18" customHeight="1">
      <c r="A11" s="4" t="n">
        <v>7</v>
      </c>
      <c r="B11" s="17" t="inlineStr">
        <is>
          <t>Vanson Harwood</t>
        </is>
      </c>
      <c r="C11" s="4" t="n">
        <v>11</v>
      </c>
      <c r="D11" s="21" t="inlineStr">
        <is>
          <t>Not heard from</t>
        </is>
      </c>
      <c r="E11" s="17" t="inlineStr"/>
      <c r="F11" s="17" t="inlineStr">
        <is>
          <t>—</t>
        </is>
      </c>
    </row>
    <row r="12" ht="18" customHeight="1">
      <c r="A12" s="5" t="n">
        <v>8</v>
      </c>
      <c r="B12" s="19" t="inlineStr">
        <is>
          <t>Ben Rodgers</t>
        </is>
      </c>
      <c r="C12" s="5" t="n">
        <v>10</v>
      </c>
      <c r="D12" s="20" t="inlineStr">
        <is>
          <t>Planning to play</t>
        </is>
      </c>
      <c r="E12" s="19" t="inlineStr"/>
      <c r="F12" s="19" t="inlineStr">
        <is>
          <t>PE(2)</t>
        </is>
      </c>
    </row>
    <row r="13" ht="18" customHeight="1">
      <c r="A13" s="4" t="n">
        <v>9</v>
      </c>
      <c r="B13" s="17" t="inlineStr">
        <is>
          <t>Josefino Jr Jayme</t>
        </is>
      </c>
      <c r="C13" s="4" t="n">
        <v>10</v>
      </c>
      <c r="D13" s="20" t="inlineStr">
        <is>
          <t>Planning to play</t>
        </is>
      </c>
      <c r="E13" s="17" t="inlineStr"/>
      <c r="F13" s="17" t="inlineStr">
        <is>
          <t>—</t>
        </is>
      </c>
    </row>
    <row r="14" ht="18" customHeight="1">
      <c r="A14" s="5" t="n">
        <v>10</v>
      </c>
      <c r="B14" s="19" t="inlineStr">
        <is>
          <t>Andrew Ridley</t>
        </is>
      </c>
      <c r="C14" s="5" t="n">
        <v>8</v>
      </c>
      <c r="D14" s="20" t="inlineStr">
        <is>
          <t>Planning to play</t>
        </is>
      </c>
      <c r="E14" s="19" t="inlineStr"/>
      <c r="F14" s="19" t="inlineStr">
        <is>
          <t>PE(4)</t>
        </is>
      </c>
    </row>
    <row r="15" ht="18" customHeight="1">
      <c r="A15" s="4" t="n">
        <v>11</v>
      </c>
      <c r="B15" s="17" t="inlineStr">
        <is>
          <t>Allan Athaide</t>
        </is>
      </c>
      <c r="C15" s="4" t="n">
        <v>7</v>
      </c>
      <c r="D15" s="18" t="inlineStr">
        <is>
          <t>Unlikely to play</t>
        </is>
      </c>
      <c r="E15" s="17" t="inlineStr"/>
      <c r="F15" s="17" t="inlineStr">
        <is>
          <t>—</t>
        </is>
      </c>
    </row>
    <row r="16" ht="18" customHeight="1">
      <c r="A16" s="5" t="n">
        <v>12</v>
      </c>
      <c r="B16" s="19" t="inlineStr">
        <is>
          <t>Henry Crook</t>
        </is>
      </c>
      <c r="C16" s="5" t="n">
        <v>6</v>
      </c>
      <c r="D16" s="20" t="inlineStr">
        <is>
          <t>Planning to play</t>
        </is>
      </c>
      <c r="E16" s="19" t="inlineStr"/>
      <c r="F16" s="19" t="inlineStr">
        <is>
          <t>PE(2)</t>
        </is>
      </c>
    </row>
    <row r="17" ht="18" customHeight="1">
      <c r="A17" s="4" t="n">
        <v>13</v>
      </c>
      <c r="B17" s="17" t="inlineStr">
        <is>
          <t>Tim Ellem</t>
        </is>
      </c>
      <c r="C17" s="4" t="n">
        <v>6</v>
      </c>
      <c r="D17" s="26" t="inlineStr">
        <is>
          <t>Unsure</t>
        </is>
      </c>
      <c r="E17" s="17" t="inlineStr"/>
      <c r="F17" s="17" t="inlineStr">
        <is>
          <t>PE(1)</t>
        </is>
      </c>
    </row>
    <row r="18" ht="18" customHeight="1">
      <c r="A18" s="5" t="n">
        <v>14</v>
      </c>
      <c r="B18" s="19" t="inlineStr">
        <is>
          <t>Jacques Malan</t>
        </is>
      </c>
      <c r="C18" s="5" t="n">
        <v>6</v>
      </c>
      <c r="D18" s="20" t="inlineStr">
        <is>
          <t>Planning to play</t>
        </is>
      </c>
      <c r="E18" s="19" t="inlineStr"/>
      <c r="F18" s="19" t="inlineStr">
        <is>
          <t>—</t>
        </is>
      </c>
    </row>
    <row r="19" ht="18" customHeight="1">
      <c r="A19" s="4" t="n">
        <v>15</v>
      </c>
      <c r="B19" s="17" t="inlineStr">
        <is>
          <t>David Misso</t>
        </is>
      </c>
      <c r="C19" s="4" t="n">
        <v>6</v>
      </c>
      <c r="D19" s="21" t="inlineStr">
        <is>
          <t>Fill-in only</t>
        </is>
      </c>
      <c r="E19" s="17" t="inlineStr"/>
      <c r="F19" s="17" t="inlineStr">
        <is>
          <t>—</t>
        </is>
      </c>
    </row>
    <row r="20" ht="18" customHeight="1">
      <c r="A20" s="5" t="n">
        <v>16</v>
      </c>
      <c r="B20" s="19" t="inlineStr">
        <is>
          <t>Gregory Rodgers</t>
        </is>
      </c>
      <c r="C20" s="5" t="n">
        <v>6</v>
      </c>
      <c r="D20" s="20" t="inlineStr">
        <is>
          <t>Planning to play</t>
        </is>
      </c>
      <c r="E20" s="19" t="inlineStr"/>
      <c r="F20" s="19" t="inlineStr">
        <is>
          <t>—</t>
        </is>
      </c>
    </row>
    <row r="21" ht="18" customHeight="1">
      <c r="A21" s="4" t="n">
        <v>17</v>
      </c>
      <c r="B21" s="17" t="inlineStr">
        <is>
          <t>Damian Ord</t>
        </is>
      </c>
      <c r="C21" s="4" t="n">
        <v>5</v>
      </c>
      <c r="D21" s="21" t="inlineStr">
        <is>
          <t>Not heard from</t>
        </is>
      </c>
      <c r="E21" s="17" t="inlineStr"/>
      <c r="F21" s="17" t="inlineStr">
        <is>
          <t>PE(1)</t>
        </is>
      </c>
    </row>
    <row r="22" ht="18" customHeight="1">
      <c r="A22" s="5" t="n">
        <v>18</v>
      </c>
      <c r="B22" s="19" t="inlineStr">
        <is>
          <t>Marcus Welsh</t>
        </is>
      </c>
      <c r="C22" s="5" t="n">
        <v>5</v>
      </c>
      <c r="D22" s="21" t="inlineStr">
        <is>
          <t>Not heard from</t>
        </is>
      </c>
      <c r="E22" s="19" t="inlineStr"/>
      <c r="F22" s="19" t="inlineStr">
        <is>
          <t>—</t>
        </is>
      </c>
    </row>
    <row r="23" ht="18" customHeight="1">
      <c r="A23" s="4" t="n">
        <v>19</v>
      </c>
      <c r="B23" s="17" t="inlineStr">
        <is>
          <t>Ray Anderson</t>
        </is>
      </c>
      <c r="C23" s="4" t="n">
        <v>4</v>
      </c>
      <c r="D23" s="21" t="inlineStr">
        <is>
          <t>Fill-in only</t>
        </is>
      </c>
      <c r="E23" s="17" t="inlineStr"/>
      <c r="F23" s="17" t="inlineStr">
        <is>
          <t>PE(1)</t>
        </is>
      </c>
    </row>
    <row r="24" ht="18" customHeight="1">
      <c r="A24" s="5" t="n">
        <v>20</v>
      </c>
      <c r="B24" s="19" t="inlineStr">
        <is>
          <t>Daniel Athaide</t>
        </is>
      </c>
      <c r="C24" s="5" t="n">
        <v>4</v>
      </c>
      <c r="D24" s="18" t="inlineStr">
        <is>
          <t>Unlikely to play</t>
        </is>
      </c>
      <c r="E24" s="19" t="inlineStr"/>
      <c r="F24" s="19" t="inlineStr">
        <is>
          <t>—</t>
        </is>
      </c>
    </row>
    <row r="25" ht="18" customHeight="1">
      <c r="A25" s="4" t="n">
        <v>21</v>
      </c>
      <c r="B25" s="17" t="inlineStr">
        <is>
          <t>Richard Bowyer</t>
        </is>
      </c>
      <c r="C25" s="4" t="n">
        <v>4</v>
      </c>
      <c r="D25" s="18" t="inlineStr">
        <is>
          <t>Unlikely to play</t>
        </is>
      </c>
      <c r="E25" s="17" t="inlineStr"/>
      <c r="F25" s="17" t="inlineStr">
        <is>
          <t>—</t>
        </is>
      </c>
    </row>
    <row r="26" ht="18" customHeight="1">
      <c r="A26" s="5" t="n">
        <v>22</v>
      </c>
      <c r="B26" s="19" t="inlineStr">
        <is>
          <t>Christopher Crook</t>
        </is>
      </c>
      <c r="C26" s="5" t="n">
        <v>3</v>
      </c>
      <c r="D26" s="20" t="inlineStr">
        <is>
          <t>Planning to play</t>
        </is>
      </c>
      <c r="E26" s="19" t="inlineStr"/>
      <c r="F26" s="19" t="inlineStr">
        <is>
          <t>PE(1)</t>
        </is>
      </c>
    </row>
    <row r="27" ht="18" customHeight="1">
      <c r="A27" s="4" t="n">
        <v>23</v>
      </c>
      <c r="B27" s="17" t="inlineStr">
        <is>
          <t>Fletcher Gowdie</t>
        </is>
      </c>
      <c r="C27" s="4" t="n">
        <v>3</v>
      </c>
      <c r="D27" s="21" t="inlineStr">
        <is>
          <t>Not heard from</t>
        </is>
      </c>
      <c r="E27" s="17" t="inlineStr"/>
      <c r="F27" s="17" t="inlineStr">
        <is>
          <t>PE(1)</t>
        </is>
      </c>
    </row>
    <row r="28" ht="18" customHeight="1">
      <c r="A28" s="5" t="n">
        <v>24</v>
      </c>
      <c r="B28" s="19" t="inlineStr">
        <is>
          <t>Tim Holland</t>
        </is>
      </c>
      <c r="C28" s="5" t="n">
        <v>3</v>
      </c>
      <c r="D28" s="20" t="inlineStr">
        <is>
          <t>Planning to play</t>
        </is>
      </c>
      <c r="E28" s="19" t="inlineStr"/>
      <c r="F28" s="19" t="inlineStr">
        <is>
          <t>—</t>
        </is>
      </c>
    </row>
    <row r="29" ht="18" customHeight="1">
      <c r="A29" s="4" t="n">
        <v>25</v>
      </c>
      <c r="B29" s="17" t="inlineStr">
        <is>
          <t>Kayden Malan</t>
        </is>
      </c>
      <c r="C29" s="4" t="n">
        <v>3</v>
      </c>
      <c r="D29" s="20" t="inlineStr">
        <is>
          <t>Planning to play</t>
        </is>
      </c>
      <c r="E29" s="17" t="inlineStr"/>
      <c r="F29" s="17" t="inlineStr">
        <is>
          <t>—</t>
        </is>
      </c>
    </row>
    <row r="30" ht="18" customHeight="1">
      <c r="A30" s="5" t="n">
        <v>26</v>
      </c>
      <c r="B30" s="19" t="inlineStr">
        <is>
          <t>Craig Bayliss</t>
        </is>
      </c>
      <c r="C30" s="5" t="n">
        <v>2</v>
      </c>
      <c r="D30" s="21" t="inlineStr">
        <is>
          <t>Fill-in only</t>
        </is>
      </c>
      <c r="E30" s="19" t="inlineStr"/>
      <c r="F30" s="19" t="inlineStr">
        <is>
          <t>—</t>
        </is>
      </c>
    </row>
    <row r="31" ht="18" customHeight="1">
      <c r="A31" s="4" t="n">
        <v>27</v>
      </c>
      <c r="B31" s="17" t="inlineStr">
        <is>
          <t>Dave Callander</t>
        </is>
      </c>
      <c r="C31" s="4" t="n">
        <v>2</v>
      </c>
      <c r="D31" s="26" t="inlineStr">
        <is>
          <t>Unsure</t>
        </is>
      </c>
      <c r="E31" s="17" t="inlineStr"/>
      <c r="F31" s="17" t="inlineStr">
        <is>
          <t>—</t>
        </is>
      </c>
    </row>
    <row r="32" ht="18" customHeight="1">
      <c r="A32" s="5" t="n">
        <v>28</v>
      </c>
      <c r="B32" s="19" t="inlineStr">
        <is>
          <t>Michael Kean</t>
        </is>
      </c>
      <c r="C32" s="5" t="n">
        <v>2</v>
      </c>
      <c r="D32" s="21" t="inlineStr">
        <is>
          <t>Not heard from</t>
        </is>
      </c>
      <c r="E32" s="19" t="inlineStr"/>
      <c r="F32" s="19" t="inlineStr">
        <is>
          <t>—</t>
        </is>
      </c>
    </row>
    <row r="33" ht="18" customHeight="1">
      <c r="A33" s="4" t="n">
        <v>29</v>
      </c>
      <c r="B33" s="17" t="inlineStr">
        <is>
          <t>Harrison Edwards</t>
        </is>
      </c>
      <c r="C33" s="4" t="n">
        <v>1</v>
      </c>
      <c r="D33" s="20" t="inlineStr">
        <is>
          <t>Planning to play</t>
        </is>
      </c>
      <c r="E33" s="17" t="inlineStr"/>
      <c r="F33" s="17" t="inlineStr">
        <is>
          <t>—</t>
        </is>
      </c>
    </row>
    <row r="34" ht="18" customHeight="1">
      <c r="A34" s="5" t="n">
        <v>30</v>
      </c>
      <c r="B34" s="19" t="inlineStr">
        <is>
          <t>Simon Hall</t>
        </is>
      </c>
      <c r="C34" s="5" t="n">
        <v>1</v>
      </c>
      <c r="D34" s="20" t="inlineStr">
        <is>
          <t>Planning to play</t>
        </is>
      </c>
      <c r="E34" s="19" t="inlineStr"/>
      <c r="F34" s="19" t="inlineStr">
        <is>
          <t>—</t>
        </is>
      </c>
    </row>
    <row r="35" ht="18" customHeight="1">
      <c r="A35" s="4" t="n">
        <v>31</v>
      </c>
      <c r="B35" s="17" t="inlineStr">
        <is>
          <t>Adrian Rigg</t>
        </is>
      </c>
      <c r="C35" s="4" t="n">
        <v>1</v>
      </c>
      <c r="D35" s="21" t="inlineStr">
        <is>
          <t>Not heard from</t>
        </is>
      </c>
      <c r="E35" s="17" t="inlineStr"/>
      <c r="F35" s="17" t="inlineStr">
        <is>
          <t>—</t>
        </is>
      </c>
    </row>
    <row r="36" ht="18" customHeight="1">
      <c r="A36" s="5" t="n">
        <v>32</v>
      </c>
      <c r="B36" s="19" t="inlineStr">
        <is>
          <t>Richard Teirney</t>
        </is>
      </c>
      <c r="C36" s="5" t="n">
        <v>1</v>
      </c>
      <c r="D36" s="21" t="inlineStr">
        <is>
          <t>Not heard from</t>
        </is>
      </c>
      <c r="E36" s="19" t="inlineStr"/>
      <c r="F36" s="19" t="inlineStr">
        <is>
          <t>—</t>
        </is>
      </c>
    </row>
    <row r="38" ht="8" customHeight="1"/>
    <row r="39" ht="20" customHeight="1">
      <c r="A39" s="28" t="inlineStr">
        <is>
          <t>FILL-INS  —  9 players (their main team is elsewhere)</t>
        </is>
      </c>
      <c r="B39" s="29" t="n"/>
      <c r="C39" s="29" t="n"/>
      <c r="D39" s="29" t="n"/>
      <c r="E39" s="29" t="n"/>
      <c r="F39" s="29" t="n"/>
    </row>
    <row r="40" ht="18" customHeight="1">
      <c r="A40" s="2" t="inlineStr">
        <is>
          <t>#</t>
        </is>
      </c>
      <c r="B40" s="2" t="inlineStr">
        <is>
          <t>Player</t>
        </is>
      </c>
      <c r="C40" s="2" t="inlineStr">
        <is>
          <t>Games Here</t>
        </is>
      </c>
      <c r="D40" s="2" t="inlineStr">
        <is>
          <t>Status</t>
        </is>
      </c>
      <c r="E40" s="2" t="inlineStr">
        <is>
          <t>Main Team</t>
        </is>
      </c>
      <c r="F40" s="2" t="inlineStr">
        <is>
          <t>Also played in</t>
        </is>
      </c>
    </row>
    <row r="41" ht="18" customHeight="1">
      <c r="A41" s="4" t="n">
        <v>1</v>
      </c>
      <c r="B41" s="17" t="inlineStr">
        <is>
          <t>Stirling Arnott</t>
        </is>
      </c>
      <c r="C41" s="4" t="n">
        <v>5</v>
      </c>
      <c r="D41" s="20" t="inlineStr">
        <is>
          <t>Planning to play</t>
        </is>
      </c>
      <c r="E41" s="4" t="inlineStr">
        <is>
          <t>PE — Pennant E</t>
        </is>
      </c>
      <c r="F41" s="17" t="inlineStr">
        <is>
          <t>PE(12)</t>
        </is>
      </c>
    </row>
    <row r="42" ht="18" customHeight="1">
      <c r="A42" s="30" t="n">
        <v>2</v>
      </c>
      <c r="B42" s="31" t="inlineStr">
        <is>
          <t>Zac Hamilton</t>
        </is>
      </c>
      <c r="C42" s="30" t="n">
        <v>2</v>
      </c>
      <c r="D42" s="21" t="inlineStr">
        <is>
          <t>Not heard from</t>
        </is>
      </c>
      <c r="E42" s="30" t="inlineStr">
        <is>
          <t>PE — Pennant E</t>
        </is>
      </c>
      <c r="F42" s="31" t="inlineStr">
        <is>
          <t>PE(14)</t>
        </is>
      </c>
    </row>
    <row r="43" ht="18" customHeight="1">
      <c r="A43" s="4" t="n">
        <v>3</v>
      </c>
      <c r="B43" s="17" t="inlineStr">
        <is>
          <t>Mark Evans</t>
        </is>
      </c>
      <c r="C43" s="4" t="n">
        <v>2</v>
      </c>
      <c r="D43" s="20" t="inlineStr">
        <is>
          <t>Planning to play</t>
        </is>
      </c>
      <c r="E43" s="4" t="inlineStr">
        <is>
          <t>PE — Pennant E</t>
        </is>
      </c>
      <c r="F43" s="17" t="inlineStr">
        <is>
          <t>PE(7)</t>
        </is>
      </c>
    </row>
    <row r="44" ht="18" customHeight="1">
      <c r="A44" s="30" t="n">
        <v>4</v>
      </c>
      <c r="B44" s="31" t="inlineStr">
        <is>
          <t>Yoshi Fujihara</t>
        </is>
      </c>
      <c r="C44" s="30" t="n">
        <v>1</v>
      </c>
      <c r="D44" s="21" t="inlineStr">
        <is>
          <t>Not heard from</t>
        </is>
      </c>
      <c r="E44" s="30" t="inlineStr">
        <is>
          <t>PC — Pennant C</t>
        </is>
      </c>
      <c r="F44" s="31" t="inlineStr">
        <is>
          <t>PC(8), PE(5)</t>
        </is>
      </c>
    </row>
    <row r="45" ht="18" customHeight="1">
      <c r="A45" s="4" t="n">
        <v>5</v>
      </c>
      <c r="B45" s="17" t="inlineStr">
        <is>
          <t>Calum Mcdermott</t>
        </is>
      </c>
      <c r="C45" s="4" t="n">
        <v>1</v>
      </c>
      <c r="D45" s="21" t="inlineStr">
        <is>
          <t>Not heard from</t>
        </is>
      </c>
      <c r="E45" s="4" t="inlineStr">
        <is>
          <t>PE — Pennant E</t>
        </is>
      </c>
      <c r="F45" s="17" t="inlineStr">
        <is>
          <t>PE(8), PC(1)</t>
        </is>
      </c>
    </row>
    <row r="46" ht="18" customHeight="1">
      <c r="A46" s="30" t="n">
        <v>6</v>
      </c>
      <c r="B46" s="31" t="inlineStr">
        <is>
          <t>Yarno Vlasblom</t>
        </is>
      </c>
      <c r="C46" s="30" t="n">
        <v>1</v>
      </c>
      <c r="D46" s="20" t="inlineStr">
        <is>
          <t>Planning to play</t>
        </is>
      </c>
      <c r="E46" s="30" t="inlineStr">
        <is>
          <t>PE — Pennant E</t>
        </is>
      </c>
      <c r="F46" s="31" t="inlineStr">
        <is>
          <t>PE(14)</t>
        </is>
      </c>
    </row>
    <row r="47" ht="18" customHeight="1">
      <c r="A47" s="4" t="n">
        <v>7</v>
      </c>
      <c r="B47" s="17" t="inlineStr">
        <is>
          <t>Campbell Evans</t>
        </is>
      </c>
      <c r="C47" s="4" t="n">
        <v>1</v>
      </c>
      <c r="D47" s="20" t="inlineStr">
        <is>
          <t>Planning to play</t>
        </is>
      </c>
      <c r="E47" s="4" t="inlineStr">
        <is>
          <t>PE — Pennant E</t>
        </is>
      </c>
      <c r="F47" s="17" t="inlineStr">
        <is>
          <t>PE(12)</t>
        </is>
      </c>
    </row>
    <row r="48" ht="18" customHeight="1">
      <c r="A48" s="30" t="n">
        <v>8</v>
      </c>
      <c r="B48" s="31" t="inlineStr">
        <is>
          <t>Enzi Waters</t>
        </is>
      </c>
      <c r="C48" s="30" t="n">
        <v>1</v>
      </c>
      <c r="D48" s="20" t="inlineStr">
        <is>
          <t>Planning to play</t>
        </is>
      </c>
      <c r="E48" s="30" t="inlineStr">
        <is>
          <t>PE — Pennant E</t>
        </is>
      </c>
      <c r="F48" s="31" t="inlineStr">
        <is>
          <t>PE(12)</t>
        </is>
      </c>
    </row>
    <row r="49" ht="18" customHeight="1">
      <c r="A49" s="4" t="n">
        <v>9</v>
      </c>
      <c r="B49" s="17" t="inlineStr">
        <is>
          <t>Simon Rodgers</t>
        </is>
      </c>
      <c r="C49" s="4" t="n">
        <v>1</v>
      </c>
      <c r="D49" s="21" t="inlineStr">
        <is>
          <t>Not heard from</t>
        </is>
      </c>
      <c r="E49" s="4" t="inlineStr">
        <is>
          <t>PE — Pennant E</t>
        </is>
      </c>
      <c r="F49" s="17" t="inlineStr">
        <is>
          <t>PE(1)</t>
        </is>
      </c>
    </row>
    <row r="51" ht="8" customHeight="1"/>
    <row r="52" ht="18" customHeight="1">
      <c r="A52" s="6" t="inlineStr">
        <is>
          <t>SUMMARY</t>
        </is>
      </c>
      <c r="B52" s="32" t="n"/>
      <c r="C52" s="32" t="n"/>
      <c r="D52" s="32" t="n"/>
      <c r="E52" s="32" t="n"/>
      <c r="F52" s="32" t="n"/>
    </row>
    <row r="53" ht="18" customHeight="1">
      <c r="A53" s="33" t="inlineStr">
        <is>
          <t>Main squad size</t>
        </is>
      </c>
      <c r="B53" s="34">
        <f>COUNTA(B5:B36)</f>
        <v/>
      </c>
      <c r="C53" s="35" t="n"/>
      <c r="D53" s="35" t="n"/>
      <c r="E53" s="35" t="n"/>
      <c r="F53" s="35" t="n"/>
    </row>
    <row r="54" ht="18" customHeight="1">
      <c r="A54" s="36" t="inlineStr">
        <is>
          <t>✔  Planning to play</t>
        </is>
      </c>
      <c r="B54" s="37">
        <f>COUNTIF(D5:D36,"Planning to play")</f>
        <v/>
      </c>
      <c r="C54" s="38" t="n"/>
      <c r="D54" s="38" t="n"/>
      <c r="E54" s="38" t="n"/>
      <c r="F54" s="38" t="n"/>
    </row>
    <row r="55" ht="18" customHeight="1">
      <c r="A55" s="39" t="inlineStr">
        <is>
          <t>⚠  Unsure</t>
        </is>
      </c>
      <c r="B55" s="40">
        <f>COUNTIF(D5:D36,"Unsure")</f>
        <v/>
      </c>
      <c r="C55" s="41" t="n"/>
      <c r="D55" s="41" t="n"/>
      <c r="E55" s="41" t="n"/>
      <c r="F55" s="41" t="n"/>
    </row>
    <row r="56" ht="18" customHeight="1">
      <c r="A56" s="42" t="inlineStr">
        <is>
          <t>⚙  Unlikely to play</t>
        </is>
      </c>
      <c r="B56" s="43">
        <f>COUNTIF(D5:D36,"Unlikely to play")</f>
        <v/>
      </c>
      <c r="C56" s="44" t="n"/>
      <c r="D56" s="44" t="n"/>
      <c r="E56" s="44" t="n"/>
      <c r="F56" s="44" t="n"/>
    </row>
    <row r="57" ht="18" customHeight="1">
      <c r="A57" s="45" t="inlineStr">
        <is>
          <t>◻  Not heard from</t>
        </is>
      </c>
      <c r="B57" s="46">
        <f>COUNTIF(D5:D36,"Not heard from")</f>
        <v/>
      </c>
      <c r="C57" s="47" t="n"/>
      <c r="D57" s="47" t="n"/>
      <c r="E57" s="47" t="n"/>
      <c r="F57" s="47" t="n"/>
    </row>
    <row r="58" ht="18" customHeight="1">
      <c r="A58" s="48" t="inlineStr">
        <is>
          <t>✘  Not returning</t>
        </is>
      </c>
      <c r="B58" s="49">
        <f>COUNTIF(D5:D36,"Not returning")</f>
        <v/>
      </c>
      <c r="C58" s="50" t="n"/>
      <c r="D58" s="50" t="n"/>
      <c r="E58" s="50" t="n"/>
      <c r="F58" s="50" t="n"/>
    </row>
    <row r="59" ht="18" customHeight="1">
      <c r="A59" s="45" t="inlineStr">
        <is>
          <t>⚙  Fill-in only</t>
        </is>
      </c>
      <c r="B59" s="46">
        <f>COUNTIF(D5:D36,"Fill-in only")</f>
        <v/>
      </c>
      <c r="C59" s="47" t="n"/>
      <c r="D59" s="47" t="n"/>
      <c r="E59" s="47" t="n"/>
      <c r="F59" s="47" t="n"/>
    </row>
    <row r="60" ht="18" customHeight="1">
      <c r="A60" s="51" t="inlineStr">
        <is>
          <t>Fill-ins on this team</t>
        </is>
      </c>
      <c r="B60" s="52" t="n">
        <v>9</v>
      </c>
      <c r="C60" s="53" t="n"/>
      <c r="D60" s="53" t="n"/>
      <c r="E60" s="53" t="n"/>
      <c r="F60" s="53" t="n"/>
    </row>
  </sheetData>
  <mergeCells count="5">
    <mergeCell ref="A2:F2"/>
    <mergeCell ref="A52:F52"/>
    <mergeCell ref="A1:F1"/>
    <mergeCell ref="A3:F3"/>
    <mergeCell ref="A39:F3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2026-02-01T02:09:24Z</dcterms:created>
  <dcterms:modified xmlns:dcterms="http://purl.org/dc/terms/" xmlns:xsi="http://www.w3.org/2001/XMLSchema-instance" xsi:type="dcterms:W3CDTF">2026-02-01T02:09:24Z</dcterms:modified>
</cp:coreProperties>
</file>